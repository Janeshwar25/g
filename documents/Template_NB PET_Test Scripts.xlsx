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https://uhgazure.sharepoint.com/teams/NavigateNowQuality/Shared Documents/General/Templates/"/>
    </mc:Choice>
  </mc:AlternateContent>
  <xr:revisionPtr revIDLastSave="0" documentId="8_{B9068EF8-DA73-43C8-903F-D564EDA6C65C}" xr6:coauthVersionLast="47" xr6:coauthVersionMax="47" xr10:uidLastSave="{00000000-0000-0000-0000-000000000000}"/>
  <bookViews>
    <workbookView xWindow="-108" yWindow="-108" windowWidth="23256" windowHeight="12456" xr2:uid="{00000000-000D-0000-FFFF-FFFF00000000}"/>
  </bookViews>
  <sheets>
    <sheet name="Case install" sheetId="2" r:id="rId1"/>
    <sheet name="Fulfillment" sheetId="3" r:id="rId2"/>
    <sheet name="Extracts(NF)" sheetId="9" r:id="rId3"/>
    <sheet name="Maintenance" sheetId="5" r:id="rId4"/>
    <sheet name="Bill&amp;Comm" sheetId="4" r:id="rId5"/>
    <sheet name="ClmsClin" sheetId="6" r:id="rId6"/>
    <sheet name="PCP Assignment" sheetId="11" r:id="rId7"/>
    <sheet name="Digital" sheetId="7" r:id="rId8"/>
    <sheet name="Metrics" sheetId="10" r:id="rId9"/>
    <sheet name="Defects" sheetId="12" r:id="rId10"/>
  </sheets>
  <definedNames>
    <definedName name="_xlnm._FilterDatabase" localSheetId="4" hidden="1">'Bill&amp;Comm'!$B$1:$L$19</definedName>
    <definedName name="_xlnm._FilterDatabase" localSheetId="0" hidden="1">'Case install'!$B$1:$L$92</definedName>
    <definedName name="_xlnm._FilterDatabase" localSheetId="5" hidden="1">ClmsClin!$B$1:$M$28</definedName>
    <definedName name="_xlnm._FilterDatabase" localSheetId="7" hidden="1">Digital!$B$1:$M$92</definedName>
    <definedName name="_xlnm._FilterDatabase" localSheetId="2" hidden="1">'Extracts(NF)'!$A$1:$L$26</definedName>
    <definedName name="_xlnm._FilterDatabase" localSheetId="1" hidden="1">Fulfillment!$B$1:$L$42</definedName>
    <definedName name="_xlnm._FilterDatabase" localSheetId="3" hidden="1">Maintenance!$B$1:$L$38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0" l="1"/>
  <c r="G5" i="10"/>
  <c r="F5" i="10"/>
  <c r="E5" i="10"/>
  <c r="D5" i="10"/>
  <c r="C5" i="10"/>
  <c r="H12" i="10"/>
  <c r="G12" i="10"/>
  <c r="F12" i="10"/>
  <c r="E12" i="10"/>
  <c r="D12" i="10"/>
  <c r="C12" i="10"/>
  <c r="K12" i="10" s="1"/>
  <c r="I12" i="10" l="1"/>
  <c r="J12" i="10" s="1"/>
  <c r="G7" i="10" l="1"/>
  <c r="C9" i="10"/>
  <c r="D7" i="10"/>
  <c r="C7" i="10"/>
  <c r="C11" i="10"/>
  <c r="C10" i="10"/>
  <c r="C8" i="10"/>
  <c r="D6" i="10"/>
  <c r="E6" i="10"/>
  <c r="F6" i="10"/>
  <c r="G6" i="10"/>
  <c r="H6" i="10"/>
  <c r="C6" i="10"/>
  <c r="D10" i="10"/>
  <c r="E10" i="10"/>
  <c r="F10" i="10"/>
  <c r="G10" i="10"/>
  <c r="H10" i="10"/>
  <c r="D11" i="10"/>
  <c r="E11" i="10"/>
  <c r="F11" i="10"/>
  <c r="G11" i="10"/>
  <c r="H11" i="10"/>
  <c r="D9" i="10"/>
  <c r="E9" i="10"/>
  <c r="F9" i="10"/>
  <c r="G9" i="10"/>
  <c r="H9" i="10"/>
  <c r="D8" i="10"/>
  <c r="E8" i="10"/>
  <c r="F8" i="10"/>
  <c r="G8" i="10"/>
  <c r="H8" i="10"/>
  <c r="E7" i="10"/>
  <c r="F7" i="10"/>
  <c r="H7" i="10"/>
  <c r="I6" i="10" l="1"/>
  <c r="J6" i="10" s="1"/>
  <c r="I7" i="10"/>
  <c r="J7" i="10" s="1"/>
  <c r="I9" i="10"/>
  <c r="J9" i="10" s="1"/>
  <c r="I11" i="10"/>
  <c r="J11" i="10" s="1"/>
  <c r="I10" i="10"/>
  <c r="J10" i="10" s="1"/>
  <c r="I8" i="10"/>
  <c r="J8" i="10" s="1"/>
  <c r="I5" i="10"/>
  <c r="J5" i="10" s="1"/>
  <c r="E13" i="10"/>
  <c r="D13" i="10"/>
  <c r="H13" i="10"/>
  <c r="G13" i="10"/>
  <c r="F13" i="10"/>
  <c r="K10" i="10" l="1"/>
  <c r="K8" i="10"/>
  <c r="K6" i="10"/>
  <c r="K7" i="10"/>
  <c r="K9" i="10"/>
  <c r="K11" i="10"/>
  <c r="K5" i="10"/>
  <c r="C13" i="10"/>
  <c r="I13" i="10" l="1"/>
  <c r="J13" i="10" s="1"/>
  <c r="K13"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kscher2</author>
  </authors>
  <commentList>
    <comment ref="A1" authorId="0" shapeId="0" xr:uid="{A25F0C03-1AAE-43AC-B6CE-CC2D57772CF9}">
      <text>
        <r>
          <rPr>
            <sz val="8"/>
            <color indexed="81"/>
            <rFont val="Tahoma"/>
            <family val="2"/>
          </rPr>
          <t xml:space="preserve">Application where test activities are going to occur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kscher2</author>
  </authors>
  <commentList>
    <comment ref="A1" authorId="0" shapeId="0" xr:uid="{453F38AB-B3AD-4967-B328-EA83EB9F3E1D}">
      <text>
        <r>
          <rPr>
            <sz val="8"/>
            <color indexed="81"/>
            <rFont val="Tahoma"/>
            <family val="2"/>
          </rPr>
          <t xml:space="preserve">Application where test activities are going to occur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kscher2</author>
  </authors>
  <commentList>
    <comment ref="A1" authorId="0" shapeId="0" xr:uid="{7A8AF4B4-16E1-4AC6-9FE7-F05DAFFF5975}">
      <text>
        <r>
          <rPr>
            <sz val="8"/>
            <color indexed="81"/>
            <rFont val="Tahoma"/>
            <family val="2"/>
          </rPr>
          <t xml:space="preserve">Application where test activities are going to occur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kscher2</author>
  </authors>
  <commentList>
    <comment ref="A1" authorId="0" shapeId="0" xr:uid="{6EB925A1-9135-47BE-9054-7349EAB12941}">
      <text>
        <r>
          <rPr>
            <sz val="8"/>
            <color indexed="81"/>
            <rFont val="Tahoma"/>
            <family val="2"/>
          </rPr>
          <t xml:space="preserve">Application where test activities are going to occur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kscher2</author>
  </authors>
  <commentList>
    <comment ref="A1" authorId="0" shapeId="0" xr:uid="{3137C627-12FA-4F7F-BC66-260361BCDB5D}">
      <text>
        <r>
          <rPr>
            <sz val="8"/>
            <color indexed="81"/>
            <rFont val="Tahoma"/>
            <family val="2"/>
          </rPr>
          <t xml:space="preserve">Application where test activities are going to occur
</t>
        </r>
      </text>
    </comment>
  </commentList>
</comments>
</file>

<file path=xl/sharedStrings.xml><?xml version="1.0" encoding="utf-8"?>
<sst xmlns="http://schemas.openxmlformats.org/spreadsheetml/2006/main" count="2212" uniqueCount="888">
  <si>
    <t>Application/Component
Name</t>
  </si>
  <si>
    <t>Application Name</t>
  </si>
  <si>
    <t>E2E Feature #</t>
  </si>
  <si>
    <t>Domain Feature #</t>
  </si>
  <si>
    <t>TC#</t>
  </si>
  <si>
    <t>Description/Expected Results</t>
  </si>
  <si>
    <t>Actual Results</t>
  </si>
  <si>
    <t>Pass/Fail</t>
  </si>
  <si>
    <t>Executed By</t>
  </si>
  <si>
    <t>Environment</t>
  </si>
  <si>
    <t>Rally Defect#</t>
  </si>
  <si>
    <t>Tester Comments</t>
  </si>
  <si>
    <t>Case Install SG Fully Insured- SAMX</t>
  </si>
  <si>
    <t>Samx One FI</t>
  </si>
  <si>
    <t>Install a new group via Samx One for UHC LF/FI, Oxford  FI/ LF, Tufts, River valey NHP and OCI  business to validate functionality post-build, using any combination of plans (Medical, Vision, Dental, Life, STD, LTD, Supp Life). Plans should be selectable based on testing scope. Cirrus must consume the group and its members, ensuring it meets prerequisites for downstream applications, including LOB size, plan details, and carrier ID.</t>
  </si>
  <si>
    <t>Group should be installed through Samx One successfully as "Active" without any errors in Cirrus with all selected plans.
Membership should also be assigned to the group. 
The newly created group should match the prerequisites for all related downstream application as per the LOB size, plans information and carrier ID.</t>
  </si>
  <si>
    <t>TC1</t>
  </si>
  <si>
    <t>Verify broker is able to login to B&amp;E Portal/ UHCeServices.com and able to Access Samx One for Small exp group Quoting and Renewal</t>
  </si>
  <si>
    <t>Broker successfully logged into B&amp;E Portal/UHCeServices.com and accessed Samx One for Small exp group Quoting and Renewal.</t>
  </si>
  <si>
    <t>No Run</t>
  </si>
  <si>
    <t xml:space="preserve">Master </t>
  </si>
  <si>
    <t>TC2</t>
  </si>
  <si>
    <t>Verify the state entered is pulling the city and zipcodes belongs to that state</t>
  </si>
  <si>
    <t>State entry correctly pulled corresponding cities and zip codes.</t>
  </si>
  <si>
    <t>TC3</t>
  </si>
  <si>
    <t>Verify if user is able to select Plan according to zip selected</t>
  </si>
  <si>
    <t>User was able to select plans based on the selected zip code.</t>
  </si>
  <si>
    <t>TC4</t>
  </si>
  <si>
    <t>Verify the required state producer/salesreps are showing up and able to select from selection area</t>
  </si>
  <si>
    <t>Required state producers/sales reps appeared and were selectable.</t>
  </si>
  <si>
    <t>TC5</t>
  </si>
  <si>
    <t>Verfiy during enrollment an alert is displayed to remind broker to input all required fields information on Samx One</t>
  </si>
  <si>
    <t>Alert was displayed during enrollment reminding broker to input all required fields.</t>
  </si>
  <si>
    <t>TC6</t>
  </si>
  <si>
    <t>Verify while creating quote broker is able to see the plans in Plan Option selection</t>
  </si>
  <si>
    <t>Broker could view available plans in the Plan Option selection while creating a quote.</t>
  </si>
  <si>
    <t>TC7</t>
  </si>
  <si>
    <t>Verfiy broker is able to enter an employee information in Samx One for the selected plan successfully</t>
  </si>
  <si>
    <t>Broker successfully entered employee information for the selected plan.</t>
  </si>
  <si>
    <t>TC8</t>
  </si>
  <si>
    <t>Verify broker is able to select the PCP randomization option with checkbox &lt;as applicable&gt;</t>
  </si>
  <si>
    <t>PCP randomization checkbox was available and selectable (as applicable).</t>
  </si>
  <si>
    <t>TC9</t>
  </si>
  <si>
    <t>Verify broker is able to select the desired PCP by selecting the search button and assign PCP &lt;as applicable&gt;</t>
  </si>
  <si>
    <t>Broker was able to search and assign desired PCP (as applicable).</t>
  </si>
  <si>
    <t>TC10</t>
  </si>
  <si>
    <t>Verfiy Broker gets a warning messages for all  required fields if the information is not passed</t>
  </si>
  <si>
    <t>Warning messages appeared for all required fields when information was missing.</t>
  </si>
  <si>
    <t>TC11</t>
  </si>
  <si>
    <t>Verify Broker is able to create a Quote successfully -Samx One</t>
  </si>
  <si>
    <t>Broker successfully created a quote in Samx One.</t>
  </si>
  <si>
    <t>TC12</t>
  </si>
  <si>
    <t>Verify Broker gets a noticfication wirh MG ID when  submit an installtion in Samx One to Cirrus</t>
  </si>
  <si>
    <t>Broker received notification with MG ID upon submitting installation to Cirrus.</t>
  </si>
  <si>
    <t>Cirrus</t>
  </si>
  <si>
    <t>Cirrus Validation  - Member Group</t>
  </si>
  <si>
    <t>TC13</t>
  </si>
  <si>
    <t>Verify Cirrus for Member Group and Member load from Samx One</t>
  </si>
  <si>
    <t>Cirrus successfully loaded Member Group and Member data from Samx One</t>
  </si>
  <si>
    <t>TC14</t>
  </si>
  <si>
    <t>Verfiy all members/ MG loaded successfully in Cirrus</t>
  </si>
  <si>
    <t>All members and Member Groups loaded successfully in Cirrus</t>
  </si>
  <si>
    <t>TC15</t>
  </si>
  <si>
    <t xml:space="preserve">Verfiy an error queue for any installation errors. </t>
  </si>
  <si>
    <t>Error queue displayed installation errors correctly</t>
  </si>
  <si>
    <t>TC16</t>
  </si>
  <si>
    <t>Verify all demographic  details loaded successfully in Cirrus for Member Group</t>
  </si>
  <si>
    <t>All demographic details loaded successfully in Cirrus for Member Group</t>
  </si>
  <si>
    <t>TC17</t>
  </si>
  <si>
    <t>Verify Bill group details are loaded successfully in Cirrus</t>
  </si>
  <si>
    <t>Bill group details loaded successfully in Cirrus</t>
  </si>
  <si>
    <t>TC18</t>
  </si>
  <si>
    <t>Verify Bill rates are loaded successfully in Cirrus</t>
  </si>
  <si>
    <t>Bill rates loaded successfully in Cirrus</t>
  </si>
  <si>
    <t>TC19</t>
  </si>
  <si>
    <t>Verify Plan selected is loaded successfully in Cirrus</t>
  </si>
  <si>
    <t>Selected plan loaded successfully in Cirrus</t>
  </si>
  <si>
    <t>TC20</t>
  </si>
  <si>
    <t>Verify MG contract option has ID card hold in place</t>
  </si>
  <si>
    <t>MG contract option includes ID card hold in place</t>
  </si>
  <si>
    <t>Cirrus Validation  - Membership</t>
  </si>
  <si>
    <t>TC21</t>
  </si>
  <si>
    <t>Verify all demographic  details loaded successfully in Cirrus for all members</t>
  </si>
  <si>
    <t>All demographic details loaded successfully in Cirrus for all members</t>
  </si>
  <si>
    <t>TC22</t>
  </si>
  <si>
    <t xml:space="preserve">Verify contact details loaded successfully in Cirrus for all members </t>
  </si>
  <si>
    <t>Contact details loaded successfully in Cirrus for all members</t>
  </si>
  <si>
    <t>TC23</t>
  </si>
  <si>
    <t xml:space="preserve">Verify member billing information loaded successfully in subsaffiliation page in Cirrus for all members </t>
  </si>
  <si>
    <t>Member billing information loaded successfully in subsaffiliation page in Cirrus for all members</t>
  </si>
  <si>
    <t>TC24</t>
  </si>
  <si>
    <t>Verify member CLC is calculated correctly</t>
  </si>
  <si>
    <t>Member CLC calculated correctly</t>
  </si>
  <si>
    <t>TC25</t>
  </si>
  <si>
    <t>Verify all members benefit data loaded correctly in Benefit Plan page</t>
  </si>
  <si>
    <t>All members benefit data loaded correctly in Benefit Plan page</t>
  </si>
  <si>
    <t>TC26</t>
  </si>
  <si>
    <t>Verify member enrollment service area validation for plans setup with service area restriction (HMO plans)
Member outside of the configured zips will error out &lt;as applicable&gt;</t>
  </si>
  <si>
    <t>Service area validation triggered error for members outside configured zips (as applicable)</t>
  </si>
  <si>
    <t>TC27</t>
  </si>
  <si>
    <t>Verify PCP is auto assinged within the network based on the members location, when broker select PCP randomization or if no PCP has submitted for member &lt;as applicable&gt;</t>
  </si>
  <si>
    <t>PCP auto assigned within the network based on member location (as applicable)</t>
  </si>
  <si>
    <t>TC28</t>
  </si>
  <si>
    <t>Verify PCP is auto assinged within the ACO based on the members location, when broker select PCP randomization or if no PCP has submitted for member &lt;as applicable&gt;</t>
  </si>
  <si>
    <t>PCP auto assigned within the ACO based on member location (as applicable)</t>
  </si>
  <si>
    <t>TC29</t>
  </si>
  <si>
    <t>Verify member can be enrolled into COBRA</t>
  </si>
  <si>
    <t>Member enrolled into COBRA successfully</t>
  </si>
  <si>
    <t>Case Install SG Level Funded- SAMX</t>
  </si>
  <si>
    <t>Samx One LF</t>
  </si>
  <si>
    <t>TC30</t>
  </si>
  <si>
    <t>TC31</t>
  </si>
  <si>
    <t>TC32</t>
  </si>
  <si>
    <t>TC33</t>
  </si>
  <si>
    <t>TC34</t>
  </si>
  <si>
    <t>TC35</t>
  </si>
  <si>
    <t>TC36</t>
  </si>
  <si>
    <t>TC37</t>
  </si>
  <si>
    <t>TC38</t>
  </si>
  <si>
    <t>TC39</t>
  </si>
  <si>
    <t>TC40</t>
  </si>
  <si>
    <t>TC41</t>
  </si>
  <si>
    <t xml:space="preserve">Safes </t>
  </si>
  <si>
    <t xml:space="preserve">Safes Validation </t>
  </si>
  <si>
    <t>TC42</t>
  </si>
  <si>
    <t>Verify we are able to submit for Underwritten Rates.</t>
  </si>
  <si>
    <t>Able to submit for Underwritten Rates.</t>
  </si>
  <si>
    <t>TC43</t>
  </si>
  <si>
    <t>Verify we are able to process Preliminary encoding in SAFE</t>
  </si>
  <si>
    <t>Preliminary encoding processed successfully in SAFE.</t>
  </si>
  <si>
    <t>TC44</t>
  </si>
  <si>
    <t>Verfiy we are able to process Final Encoding in SAFE</t>
  </si>
  <si>
    <t>Final encoding processed successfully in SAFE.</t>
  </si>
  <si>
    <t>TC45</t>
  </si>
  <si>
    <t>TC46</t>
  </si>
  <si>
    <t>TC47</t>
  </si>
  <si>
    <t>TC48</t>
  </si>
  <si>
    <t>TC49</t>
  </si>
  <si>
    <t>TC50</t>
  </si>
  <si>
    <t>TC51</t>
  </si>
  <si>
    <t>TC52</t>
  </si>
  <si>
    <t>TC53</t>
  </si>
  <si>
    <t>TC54</t>
  </si>
  <si>
    <t>TC55</t>
  </si>
  <si>
    <t>TC56</t>
  </si>
  <si>
    <t>TC57</t>
  </si>
  <si>
    <t>TC58</t>
  </si>
  <si>
    <t>TC59</t>
  </si>
  <si>
    <t>TC60</t>
  </si>
  <si>
    <t>TC61</t>
  </si>
  <si>
    <t>TC62</t>
  </si>
  <si>
    <t>TC63</t>
  </si>
  <si>
    <t>Verify for level funded if carrier/legal entity on the SL policy is assigned correctly   (Click here for LE)</t>
  </si>
  <si>
    <t>Carrier/legal entity assigned correctly on SL policy for level funded</t>
  </si>
  <si>
    <t>Case Install LG Fully Insured- OBM</t>
  </si>
  <si>
    <t>OBM(Pre Prod / Stage) Fully Insured</t>
  </si>
  <si>
    <t>Install a new group via OBM for UHC LF/FI, Oxford  FI/ LF, Tufts, River valey NHP and OCI business to validate post-build functionality with any plan combination (Medical, Vision, Dental, Life, STD, LTD, Supp Life). Plans should be selectable per testing scope. Cirrus must consume the group and members, meeting prerequisites for downstream apps based on LOB size, plan details, and carrier ID.</t>
  </si>
  <si>
    <t>Group should be installed through OBM successfully as "Active" without any errors in Cirrus with all selected plans.
Membership should also be assigned to the group. 
The newly created group should match the prerequisites for all related downstream application as per the LOB size, plans information and carrier ID.</t>
  </si>
  <si>
    <t>TC64</t>
  </si>
  <si>
    <t>Create group through automation tool using Link Jenkins</t>
  </si>
  <si>
    <t>Group created using Jenkins automation tool</t>
  </si>
  <si>
    <t>TC65</t>
  </si>
  <si>
    <t>Update customer profile field based on your state</t>
  </si>
  <si>
    <t>Customer profile field updated based on state</t>
  </si>
  <si>
    <t>TC66</t>
  </si>
  <si>
    <t>Update health products field based on your state (Plan name, BBOI, Network, Medical plan code, RX plan code)</t>
  </si>
  <si>
    <t>Health products field updated based on state</t>
  </si>
  <si>
    <t>TC67</t>
  </si>
  <si>
    <t>Validate and Publish the group</t>
  </si>
  <si>
    <t>Group validated and published</t>
  </si>
  <si>
    <t>TC68</t>
  </si>
  <si>
    <t>Verify Cirrus for Member Group and Member load from OBM</t>
  </si>
  <si>
    <t>Member Group and Member loaded from OBM member publish into Cirrus</t>
  </si>
  <si>
    <t>TC69</t>
  </si>
  <si>
    <t>All members/MG loaded successfully in Cirrus</t>
  </si>
  <si>
    <t>TC70</t>
  </si>
  <si>
    <t>Error queue displayed for installation errors</t>
  </si>
  <si>
    <t>TC71</t>
  </si>
  <si>
    <t>Demographic details loaded successfully in Cirrus</t>
  </si>
  <si>
    <t>TC72</t>
  </si>
  <si>
    <t>TC73</t>
  </si>
  <si>
    <t>TC74</t>
  </si>
  <si>
    <t>TC75</t>
  </si>
  <si>
    <t>MG contract option has ID card hold in place</t>
  </si>
  <si>
    <t>OBM Member publish</t>
  </si>
  <si>
    <t>OBM Member</t>
  </si>
  <si>
    <t>TC76</t>
  </si>
  <si>
    <t>Update mandatory field in Excel sheet (Employee SSN, Relationship Code, Medical Benefit Status Code, Last Name, First Name, SEX, Date of Birth, Address Type, Street Address, City, State, ZIP, Phone Type, Home_Phone, Hire Date, Employment Status Code, Employment Status Effective Date, Medical Coverage, Medical Benefit Bundle Option ID, Medical Bill Group ID, Benefit Status Code and Member Group ID)</t>
  </si>
  <si>
    <t>TC77</t>
  </si>
  <si>
    <t xml:space="preserve">Publish the excel sheet in USP member in OBM </t>
  </si>
  <si>
    <t>Publish the excel sheet in USP member in OBM</t>
  </si>
  <si>
    <t>TC78</t>
  </si>
  <si>
    <t>Verify all demographic details loaded successfully in Cirrus for all members</t>
  </si>
  <si>
    <t>TC79</t>
  </si>
  <si>
    <t>Verify contact details loaded successfully in Cirrus for all members</t>
  </si>
  <si>
    <t>TC80</t>
  </si>
  <si>
    <t>Verify member billing information loaded successfully in subsaffiliation page in Cirrus for all members</t>
  </si>
  <si>
    <t>TC81</t>
  </si>
  <si>
    <t>TC82</t>
  </si>
  <si>
    <t>TC83</t>
  </si>
  <si>
    <t>Verify member enrollment service area validation for plans setup with service area restriction (HMO plans). Member outside of the configured zips will error out &lt;as applicable&gt;</t>
  </si>
  <si>
    <t>TC84</t>
  </si>
  <si>
    <t>Verify PCP is auto assigned within the network based on the members location, when broker select PCP randomization or if no PCP has submitted for member &lt;as applicable&gt;</t>
  </si>
  <si>
    <t>TC85</t>
  </si>
  <si>
    <t>Verify PCP is auto assigned within the ACO based on the members location, when broker select PCP randomization or if no PCP has submitted for member &lt;as applicable&gt;</t>
  </si>
  <si>
    <t>TC86</t>
  </si>
  <si>
    <t>Case Install LG Level Funded- OBM</t>
  </si>
  <si>
    <t>OBM(Pre Prod / Stage)</t>
  </si>
  <si>
    <t>TC87</t>
  </si>
  <si>
    <t>TC88</t>
  </si>
  <si>
    <t>TC89</t>
  </si>
  <si>
    <t>TC90</t>
  </si>
  <si>
    <t>TC91</t>
  </si>
  <si>
    <t>TC92</t>
  </si>
  <si>
    <t>TC93</t>
  </si>
  <si>
    <t>TC94</t>
  </si>
  <si>
    <t>TC95</t>
  </si>
  <si>
    <t>TC96</t>
  </si>
  <si>
    <t>TC97</t>
  </si>
  <si>
    <t>TC98</t>
  </si>
  <si>
    <t>TC99</t>
  </si>
  <si>
    <t>TC100</t>
  </si>
  <si>
    <t>TC101</t>
  </si>
  <si>
    <t>TC102</t>
  </si>
  <si>
    <t>TC103</t>
  </si>
  <si>
    <t>TC104</t>
  </si>
  <si>
    <t>TC105</t>
  </si>
  <si>
    <t>TC106</t>
  </si>
  <si>
    <t>TC107</t>
  </si>
  <si>
    <t>TC108</t>
  </si>
  <si>
    <t>TC109</t>
  </si>
  <si>
    <t>Case Install Manual</t>
  </si>
  <si>
    <t>DSS</t>
  </si>
  <si>
    <t>Manual Installation</t>
  </si>
  <si>
    <t>TC110</t>
  </si>
  <si>
    <t>Verify Cirrus for Member Group and Member load through DSS</t>
  </si>
  <si>
    <t>TC111</t>
  </si>
  <si>
    <t>Verify benefit bundle match for Level 2 product is applicable to Key Accounts in different situs states (ex: Louisiana &amp; Florida)</t>
  </si>
  <si>
    <t>TC112</t>
  </si>
  <si>
    <t>TC113</t>
  </si>
  <si>
    <t>TC114</t>
  </si>
  <si>
    <t>TC115</t>
  </si>
  <si>
    <t>TC116</t>
  </si>
  <si>
    <t>TC117</t>
  </si>
  <si>
    <t>TC118</t>
  </si>
  <si>
    <t>TC119</t>
  </si>
  <si>
    <t>TC120</t>
  </si>
  <si>
    <t>Verify members can be enrolled in groups by loading them directly into Cirrus via Proprietary X tool, EDI or JSON</t>
  </si>
  <si>
    <t>TC121</t>
  </si>
  <si>
    <t>Verify we are able to enroll Subscriber Only -&gt; EMP (Coverage Level Code on Affiliation page)</t>
  </si>
  <si>
    <t>TC122</t>
  </si>
  <si>
    <t>Verify we are able to enroll Subscriber + Spouse -&gt; ESP (Coverage Level Code on Affiliation page)</t>
  </si>
  <si>
    <t>TC123</t>
  </si>
  <si>
    <t>Verify we are able to enroll Subscriber + Spouse + Child/Children -&gt; FAM  (Coverage Level Code on Affiliation page)</t>
  </si>
  <si>
    <t>TC124</t>
  </si>
  <si>
    <t>Verify we are able to enroll Subscriber + Child -&gt; for FI it turns in to ECH, where as for LF it is Ez1D (Coverage Level Code on Affiliation page)</t>
  </si>
  <si>
    <t>TC125</t>
  </si>
  <si>
    <t>Verify we are able to enroll Subscriber + Children -&gt; ECH  (Coverage Level Code on Affiliation page)</t>
  </si>
  <si>
    <t>TC126</t>
  </si>
  <si>
    <t>TC127</t>
  </si>
  <si>
    <t>TC128</t>
  </si>
  <si>
    <t>TC129</t>
  </si>
  <si>
    <t>TC130</t>
  </si>
  <si>
    <t>Pass</t>
  </si>
  <si>
    <t>Fail</t>
  </si>
  <si>
    <t>Deferred</t>
  </si>
  <si>
    <t>Not Applicable</t>
  </si>
  <si>
    <t>In Progress</t>
  </si>
  <si>
    <t>Alpha</t>
  </si>
  <si>
    <t>ID Card</t>
  </si>
  <si>
    <t>Trident/Cirrus</t>
  </si>
  <si>
    <t>The purpose of this testing is to initiate the generation of the member's ID card from Cirrus, download it via Fiserv/Trident, and verify that all required fields are present and consistent with the data in Cirrus.
Fields to verify on ID card(Front):
•	BRANDING ENTITY
•	Member Benefit Plan RX VENDOR
•	GROUP ID
•	Member Name
•	MEMBER EXTERNAL ID
•	MEM PLAN GROUP NAME 
•	PCP NAME
•	MEM_BENE_PCP_ACO_NAME
•	RX_EFF_DATE
•	MEM_BENE_PLAN_PAYER_ID
•	MEM_BENE_PCP_COPAY
•	MEMBER SPECIALATY _COPAY
•	MEM_BENE_HOSP_INPT_COPAY
•	MEM_BENE_HOSP_INPT_COINS
•	PCP COPAY
•	EMERGENY COPAY
•	URGENT COPAY
•	TIERED SPEC COPAY
•	COINSURANCE VALUES</t>
  </si>
  <si>
    <t>Cirrus should be able to trigger and generate the member's ID card, ensuring all necessary information is sent for accurate printing on the card.
The following fields should be displayed on the ID card to ensure consistency with the data in Cirrus:
•	BRANDING ENTITY
•	Member Benefit Plan RX VENDOR
•	GROUP ID
•	Member Name
•	MEMBER EXTERNAL ID
•	MEM PLAN GROUP NAME 
•	PCP NAME
•	MEM_BENE_PCP_ACO_NAME
•	RX_EFF_DATE
•	MEM_BENE_PLAN_PAYER_ID
•	MEM_BENE_PCP_COPAY
•	MEMBER SPECIALATY _COPAY
•	MEM_BENE_HOSP_INPT_COPAY
•	MEM_BENE_HOSP_INPT_COINS
•	PCP COPAY
•	EMERGENY COPAY
•	URGENT COPAY
•	TIERED SPEC COPAY
•	COINSURANCE VALUES</t>
  </si>
  <si>
    <t>Id Card Trigger               Member-&gt; Benefit Plan-&gt; Id Card.</t>
  </si>
  <si>
    <t>Cirrus UI id card trigger and validation</t>
  </si>
  <si>
    <t>Verify if you are able to trigger the ID Cards.</t>
  </si>
  <si>
    <t>ID card trigger request should be successful.</t>
  </si>
  <si>
    <t>Verify after requesting the Id Card member's fulfillment request status is successful or not in Cirrus fulfillment request search option. Member-&gt; More Member-&gt; Fulfilment request search.</t>
  </si>
  <si>
    <t>Fulfillment request status should be 'Successful' in Cirrus.</t>
  </si>
  <si>
    <t>Verify ID Cards are triggered from Cirrus as per the scheduled date</t>
  </si>
  <si>
    <t>ID cards should be triggered on the scheduled date.</t>
  </si>
  <si>
    <t>Verify ID cards PDFs are generated in Fiserv/Trident as expected with requirements.</t>
  </si>
  <si>
    <t>PDFs should be generated correctly in Fiserv/Trident.</t>
  </si>
  <si>
    <t>Verify PCP name is printed on ID card for individual provider &lt;as applicable&gt;</t>
  </si>
  <si>
    <t>PCP name should be printed correctly for individual providers.</t>
  </si>
  <si>
    <t>Verify Provider group name  is printed on ID card when PCP is a medical group. &lt;as applicable&gt;</t>
  </si>
  <si>
    <t>Provider group name should be printed correctly.</t>
  </si>
  <si>
    <t>Verify ACO name  is printed on ID card when PCP is from the ACO roster &lt;as applicable&gt;</t>
  </si>
  <si>
    <t>ACO name should be printed correctly.</t>
  </si>
  <si>
    <t>Verify product name, legal entity and logo are displayed on the ID card as expected</t>
  </si>
  <si>
    <t>Product name, legal entity, and logo should be displayed correctly.</t>
  </si>
  <si>
    <t>Verify Benefits - Benefit Plan - Accumulators - Benefit Deductibles - Deductible Periods are displayed on the ID card as expected</t>
  </si>
  <si>
    <t>All benefit details should be displayed correctly.</t>
  </si>
  <si>
    <t>Verify member's first name, middle name, last name and suffix are displayed on Id Card.</t>
  </si>
  <si>
    <t>Member's full name and suffix should be displayed correctly.</t>
  </si>
  <si>
    <t>Verify member's external id and benefit plan group id matches with Cirrus and displayed.</t>
  </si>
  <si>
    <t>External ID and benefit plan group ID should match Cirrus and be displayed.</t>
  </si>
  <si>
    <t>Verify Member's benefit plan name is printed in the Id Card as expected</t>
  </si>
  <si>
    <t>Benefit plan name should be printed correctly.</t>
  </si>
  <si>
    <t>Verify rx effective date and member's benefit plan payer id is display.</t>
  </si>
  <si>
    <t>Rx effective date and payer ID should be displayed.</t>
  </si>
  <si>
    <t>Verify member's fulfilment product name with network scheduled display</t>
  </si>
  <si>
    <t>Fulfillment product name and network schedule should be displayed.</t>
  </si>
  <si>
    <t>Verify Copays printed on ID card are correct per the benefit plan</t>
  </si>
  <si>
    <t>Copays should match the benefit plan.</t>
  </si>
  <si>
    <t>Verify Ded/OOP values printed on ID card are correct per the benefit plan</t>
  </si>
  <si>
    <t>Deductible/OOP values should be correct.</t>
  </si>
  <si>
    <t>Verify plan type and department of insurance code is display on Id card.</t>
  </si>
  <si>
    <t>Plan type and insurance code should be displayed.</t>
  </si>
  <si>
    <t>Verify web address is printed on back side of Id Card.</t>
  </si>
  <si>
    <t>Web address should be printed on the back.</t>
  </si>
  <si>
    <t>Verify Phone number and Provider's phone number are printed on Back side of the Id Card.</t>
  </si>
  <si>
    <t>Phone numbers should be printed correctly.</t>
  </si>
  <si>
    <t>Verify member's Claim address and provider's phone number is printed on the back side of the Id Card.</t>
  </si>
  <si>
    <t>Claim address and provider's phone number should be printed.</t>
  </si>
  <si>
    <t>Verify member's prefered diagnostic/ Member's OON coverage logo display on the back side of Id Card &lt;as applicable&gt;</t>
  </si>
  <si>
    <t>Preferred diagnostic/OON logo should be displayed.</t>
  </si>
  <si>
    <t>Verify member's Rx phone and Rx address printed on the backside of the Id Card. &lt;as applicable&gt;</t>
  </si>
  <si>
    <t>Rx phone and address should be printed.</t>
  </si>
  <si>
    <t>Verify State/Product Specific unique requirements are met</t>
  </si>
  <si>
    <t>State/Product specific requirements should be fulfilled.</t>
  </si>
  <si>
    <t>Verify PCP letters are triggered from Cirrus when a new PCP is assigned or updated</t>
  </si>
  <si>
    <t>PCP letters should be triggered correctly.</t>
  </si>
  <si>
    <t>Plan Documents</t>
  </si>
  <si>
    <t xml:space="preserve">COM360
COC and SBC(SBD) Documents </t>
  </si>
  <si>
    <t>The purpose of this testing is to initiate the generation of fulfillment documents—SBC, COC, SBD, and Benefit Language—triggered from Cirrus, download them via DOC360 and relevant portals, and verify that all required fields are present and consistent with the data in Cirrus. If any content changes are identified, business approval must be obtained.</t>
  </si>
  <si>
    <t>Fulfillment documents (SBC, COC, SBD, and Benefit Language) should be successfully generated from Cirrus and downloaded via DOC360 and relevant portals. Each document must contain all required fields and reflect data accurately and consistently with Cirrus. If any discrepancies or content changes are identified, appropriate business approval must be obtained before proceeding.</t>
  </si>
  <si>
    <t xml:space="preserve"> Verify for LF groups - Verify welcome kit is triggerd 
Note --  COM360 doesn’t process Welcome Kit data, 
 LF welcome kits are hardcopy kits produced at RR Donnelly</t>
  </si>
  <si>
    <t>Welcome Kit should be triggered for LF groups and produced by RR Donnelly. COM360 does not process Welcome Kit data.</t>
  </si>
  <si>
    <t>Verify once group is installed sucessfully, events should be created automatlically</t>
  </si>
  <si>
    <t>Events should be automatically created in Cirrus upon successful group installation.</t>
  </si>
  <si>
    <t>verify if the events are triggerd sucussfully and its in Complete staus in Cirrus</t>
  </si>
  <si>
    <t>All expected events should be triggered successfully and be in 'Complete' status in Cirrus.</t>
  </si>
  <si>
    <t>Verify events are in Archive status in DB once COM360 is done processing</t>
  </si>
  <si>
    <t>Events should be archived in the database after COM360 processing.</t>
  </si>
  <si>
    <t xml:space="preserve">Verify if Benefit language event generated and processed correctly </t>
  </si>
  <si>
    <t>Benefit Language event should be generated and processed successfully with correct language details.</t>
  </si>
  <si>
    <t>Verify if GROUP_LF_ASA_SL event generated and processed correctly ( Applicable for LF)</t>
  </si>
  <si>
    <t>GROUP_LF_ASA_SL event should be generated and processed correctly for LF groups.</t>
  </si>
  <si>
    <t>Verify if MEMBER_LF_SPD event generated and processed correctly ( Applicable for LF)</t>
  </si>
  <si>
    <t>MEMBER_LF_SPD event should be generated and processed correctly for LF members.</t>
  </si>
  <si>
    <t>Verify if Group and member handbook event generated and processed correctly (Applicable for Oxford FI)</t>
  </si>
  <si>
    <t>Group and member handbook events should be generated and processed correctly for Oxford FI.</t>
  </si>
  <si>
    <t>Verify if Medical Handbook event generated and processed correctly (Applicable for UHC FI,Tufts FI , NHP FI , RV FI and OCI FI )</t>
  </si>
  <si>
    <t>Medical Handbook event should be generated and processed correctly for listed FIs.</t>
  </si>
  <si>
    <t>Verify if Cirrus SBC and SBC DBD event generated and processed correctly ( Applicable as per BOB )</t>
  </si>
  <si>
    <t>SBC and SBC DBD events should be generated and processed correctly as per BOB rules.</t>
  </si>
  <si>
    <t xml:space="preserve">Verify other fulfillment materials (COC, SBC) &lt;as applicable&gt; </t>
  </si>
  <si>
    <t>All applicable fulfillment materials (COC, SBC) should be generated and processed with accurate content.</t>
  </si>
  <si>
    <t>NODA</t>
  </si>
  <si>
    <t xml:space="preserve">Verify other NODA transaction is completed successfully and content is correct &lt;as needed and applicable&gt; </t>
  </si>
  <si>
    <t>NODA transaction should be completed successfully and content should be correct.</t>
  </si>
  <si>
    <t>Benefit Language- B360</t>
  </si>
  <si>
    <t xml:space="preserve">Verify benefit language in B360 vs benefit language in Cirrus </t>
  </si>
  <si>
    <t>Benefit language in B360 should match with Cirrus.</t>
  </si>
  <si>
    <t>Letters</t>
  </si>
  <si>
    <t xml:space="preserve">Verify Member and Claim Letters &lt;as applicable&gt; </t>
  </si>
  <si>
    <t>Member and Claim letters should be generated and processed correctly with accurate content.</t>
  </si>
  <si>
    <t>Optum Bank</t>
  </si>
  <si>
    <t>The downstream application should be able to consume the data of "groups/members" installed for the current project.
Cirrus should trigger the extract for the group and send it to Cloudberry. All items should be validated before sending the data to the B2B team.
The incremental file should be shared with the B2B team to obtain a response file, which will then be shared with the Optum Bank team.
Optum Bank will validate test MGs in the loaded report file.</t>
  </si>
  <si>
    <t>The downstream application should be able to consume the data of "groups/members" installed for the project.
Cirrus should trigger the extract for the group and send it to Cloudberry.
Validation Points:
The groups have an active HSA plan.
Vendor ID 1048481 is updated at the group level.
Under membership, the enrollment signature date should be updated.
Once the extract is triggered, the results should reflect in the Cloudberry application.
Verify within Cirrus that all required MGs and members appear in the extract file along with other validation points.
The incremental file should be shared with the B2B team to obtain a response file, which will then be shared with the Optum Bank team.
Optum Bank will validate test MGs in the loaded report file.</t>
  </si>
  <si>
    <t>Verfiy HSA vendor ID is populated on mem group contract plan option screen</t>
  </si>
  <si>
    <t xml:space="preserve"> HSA vendor ID displayed correctly on Member Group Contract Plan Option screen</t>
  </si>
  <si>
    <t>Verify if you are able to add Signature date on affiliation screen of members(New Business)</t>
  </si>
  <si>
    <t xml:space="preserve"> Signature date field available and saved successfully on affiliation screen</t>
  </si>
  <si>
    <t>Verify if Banking Extract is getting generated</t>
  </si>
  <si>
    <t xml:space="preserve"> Banking extract generated successfully without errors</t>
  </si>
  <si>
    <t>Verify If Member group &amp; Member Data is present in extract</t>
  </si>
  <si>
    <t xml:space="preserve"> Member group and member data present and validated in extract</t>
  </si>
  <si>
    <t>Verify if B2B is able to consume membership file and is able to translate the file</t>
  </si>
  <si>
    <t xml:space="preserve"> B2B consumed membership file and translated successfully</t>
  </si>
  <si>
    <t>Verfiy OptumBank is able to consume Member group and member data via the extract for Member group and members enrolled in HSA plans</t>
  </si>
  <si>
    <t xml:space="preserve"> OptumBank consumed extract and loaded member group and member data correctly</t>
  </si>
  <si>
    <t>Examine the load report sent by Optum Bank to verify that all the memebrs and member groups have been corretly loaded.</t>
  </si>
  <si>
    <t xml:space="preserve"> Load report confirms all members and member groups loaded without discrepancies</t>
  </si>
  <si>
    <t>Optum Rx</t>
  </si>
  <si>
    <t>Optum RX</t>
  </si>
  <si>
    <t>The objective is to test Cirrus functionality for triggering and sending data to the Optum RX Streaming platform for the related project.
The downstream application should consume the "groups/members" data installed for the project and ensure parity with Cirrus.</t>
  </si>
  <si>
    <t>Data trigger from Cirrus to Optum RX Streaming platform executed successfully.
Streaming payload contained all expected "groups/members" records for the project.
Downstream application consumed the data without errors and parity check confirmed 100% match with Cirrus source data.
No data loss or transformation issues observed during transmission.</t>
  </si>
  <si>
    <t>Verfiy OptumRX is able to consume Member group  and membership data via Nimbus stream</t>
  </si>
  <si>
    <t xml:space="preserve"> OptumRX consumed data via Nimbus stream successfully</t>
  </si>
  <si>
    <t>Verify if the eligebility information effective date is same as member group contract effective date in Optum Rx UI.</t>
  </si>
  <si>
    <t xml:space="preserve"> Eligibility effective date matches member group contract effective date in OptumRx UI</t>
  </si>
  <si>
    <t>Verify if Member group data is correctly available in OptumRx Portal(Demographics/DOB/MG name etc)</t>
  </si>
  <si>
    <t xml:space="preserve"> Member group demographics, DOB, and MG name displayed correctly in OptumRx portal</t>
  </si>
  <si>
    <t>Verify if Client code is available in optum RX portal</t>
  </si>
  <si>
    <t xml:space="preserve"> Client code displayed correctly in OptumRx portal</t>
  </si>
  <si>
    <t xml:space="preserve">Verify if all members are loaded in Optum Rx UI </t>
  </si>
  <si>
    <t xml:space="preserve"> All members loaded and visible in OptumRx UI</t>
  </si>
  <si>
    <t>Verify if demegraphics details are present in the Optum Rx UI</t>
  </si>
  <si>
    <t xml:space="preserve"> Demographics details present and accurate in OptumRx UI</t>
  </si>
  <si>
    <t>Vision</t>
  </si>
  <si>
    <t>Verfiy Vision is able to consume Member group and Membership data via Nimbus stream</t>
  </si>
  <si>
    <t xml:space="preserve"> Vision system consumed member group and membership data via Nimbus stream</t>
  </si>
  <si>
    <t>Dental</t>
  </si>
  <si>
    <t>Verfiy Dental is able to consume Member group and Membership data via Nimbus stream</t>
  </si>
  <si>
    <t xml:space="preserve"> Dental system consumed member group and membership data via Nimbus stream</t>
  </si>
  <si>
    <t>PHAccent</t>
  </si>
  <si>
    <t>PH Accent</t>
  </si>
  <si>
    <t>The downstream application should be able to consume the data of "groups/members" installed for the current project.
Cirrus should trigger the extract for the group and send it to Cloudberry.
All items should be validated before sending the data.</t>
  </si>
  <si>
    <t>Data Consumption and Extract Process
The downstream application must be able to consume "groups/members" data installed for the project.
Cirrus is responsible for triggering the extract for the group and transmitting it to Cloudberry.
________________________________________
Validation Checklist
1.	Group and Membership Requirements
o	Members in the groups must have active Chiro Plans.
o	For Chiro plans, the attribute name should include “Plan_Category_1”.
2.	Extract and System Validation
o	Once the extract is triggered, results should be visible in the Cloudberry application.
o	Verify within Cirrus that all required MGs and members appear in the extract file along with all other validation points.</t>
  </si>
  <si>
    <t>Verify if Extract is getting generated for the MG which has benefit plan with Plan Category 1 as attribute</t>
  </si>
  <si>
    <t xml:space="preserve"> Extract generated successfully for MG with Plan Category 1 attribute</t>
  </si>
  <si>
    <t>Verify if MG &amp; member available in extract</t>
  </si>
  <si>
    <t xml:space="preserve"> MG and member data available in extract</t>
  </si>
  <si>
    <t>Verify if Bundle option is available in benefit plan summary extract</t>
  </si>
  <si>
    <t xml:space="preserve"> Bundle option displayed correctly in benefit plan summary extract</t>
  </si>
  <si>
    <t>Verfiy PH Accent is able to consume Member group and Membership data via extract</t>
  </si>
  <si>
    <t xml:space="preserve"> PH Accent consumed member group and membership data via extract successfully</t>
  </si>
  <si>
    <t>Examine the loadreport sent by PHAccent to verify that all the memebrs and member groups have been corretly loaded.</t>
  </si>
  <si>
    <t xml:space="preserve"> Load report confirms all members and member groups loaded correctly by PH Accent</t>
  </si>
  <si>
    <t>BOSS</t>
  </si>
  <si>
    <t>Verfiy BOSS is able to consume Member group data from Nimbus via API</t>
  </si>
  <si>
    <t>Same as expected</t>
  </si>
  <si>
    <t>Examine the loadreport sent by BOSS to verify that all the memebrs and member groups have been corretly loaded.</t>
  </si>
  <si>
    <t>Member Group and Member Maintenance- Cirrus</t>
  </si>
  <si>
    <t>Maintenance in Cirrus</t>
  </si>
  <si>
    <t>This testing is performed to verify that any changes made at the group or member level are displayed as expected.</t>
  </si>
  <si>
    <t>All changes made at the group and member levels are displayed correctly in the system as expected.</t>
  </si>
  <si>
    <t>Member Group Maintenance</t>
  </si>
  <si>
    <t>Verify if we are able to Term a Member Group</t>
  </si>
  <si>
    <t>Successfully able to term a Member Group; changes displayed correctly in the system.</t>
  </si>
  <si>
    <t>Verify if we are able to Cancel a Member Group</t>
  </si>
  <si>
    <t>Successfully able to cancel a Member Group; changes displayed correctly in the system.</t>
  </si>
  <si>
    <t>Verify if we are able to Reinstate a Member Group</t>
  </si>
  <si>
    <t>Successfully able to reinstate a Member Group; changes displayed correctly in the system.</t>
  </si>
  <si>
    <t>Verify if we are able to update Member Group- Demographics, plan information</t>
  </si>
  <si>
    <t>Successfully able to update demographics and plan info; changes displayed correctly in the system.</t>
  </si>
  <si>
    <t>Verify if we are able to retro add Member Group</t>
  </si>
  <si>
    <t>Successfully able to retro add a Member Group; changes displayed correctly in the system.</t>
  </si>
  <si>
    <t>Verify if we are able to retro term a Member Group</t>
  </si>
  <si>
    <t>Successfully able to retro term a Member Group; changes displayed correctly in the system.</t>
  </si>
  <si>
    <t>Verify if we are able to retro reinstate a Member Group</t>
  </si>
  <si>
    <t>Successfully able to retro reinstate a Member Group; changes displayed correctly in the system.</t>
  </si>
  <si>
    <t>Verify if we are able to retro change a plan to Member Group</t>
  </si>
  <si>
    <t>Successfully able to retro change plan for Member Group; changes displayed correctly in the system.</t>
  </si>
  <si>
    <t>Member Maintenance</t>
  </si>
  <si>
    <t>Verify if we are able to add a dependent</t>
  </si>
  <si>
    <t>Successfully able to add a dependent; changes displayed correctly in the system.</t>
  </si>
  <si>
    <t>Verify if we are able to term a Member</t>
  </si>
  <si>
    <t>Successfully able to term a Member; changes displayed correctly in the system.</t>
  </si>
  <si>
    <t>Verify if we are able to reinstate a Member</t>
  </si>
  <si>
    <t>Successfully able to reinstate a Member; changes displayed correctly in the system.</t>
  </si>
  <si>
    <t>Verify if we are able to move Member to COBRA</t>
  </si>
  <si>
    <t>Successfully able to move Member to COBRA; changes displayed correctly in the system.</t>
  </si>
  <si>
    <t>Verify if we are able to update Member demographics</t>
  </si>
  <si>
    <t>Successfully able to update Member demographics; changes displayed correctly in the system.</t>
  </si>
  <si>
    <t>Verify if we are able to retro add Member with dependent</t>
  </si>
  <si>
    <t>Successfully able to retro add Member with dependent; changes displayed correctly in the system.</t>
  </si>
  <si>
    <t xml:space="preserve">Verify if we are able to retro term a Member </t>
  </si>
  <si>
    <t>Successfully able to retro term a Member; changes displayed correctly in the system.</t>
  </si>
  <si>
    <t>Verify if we are able to retro reinstate a Member</t>
  </si>
  <si>
    <t>Successfully able to retro reinstate a Member; changes displayed correctly in the system.</t>
  </si>
  <si>
    <t xml:space="preserve">Verify if we are able to retro change a plan to Member </t>
  </si>
  <si>
    <t>Successfully able to retro change plan for Member; changes displayed correctly in the system.</t>
  </si>
  <si>
    <t>Broker &amp; Employer Portal</t>
  </si>
  <si>
    <t>B&amp;E Portal</t>
  </si>
  <si>
    <t>Verify that all group information displayed on the B&amp;E portal matches Cirrus data and that the B&amp;E application correctly consumes group data for the project.
Fields to validate on B&amp;E portal:
Group Name
Small Group Indicator
Platform
Group ID
Hold Eligibility
Situs State
Next Renewal Date
Market Segment
Plan Funding Type
Carrier Name
Product
Plan Name
Coverage Details
Status
SIC ID
Demographics
Plan Information
Benefit Administrator Details
Broker Information</t>
  </si>
  <si>
    <t>All related fields and information must be consistent between Cirrus and the B&amp;E application. The B&amp;E application should correctly consume the data installed for the project.
The following fields should display accurately on the B&amp;E portal:
Group Name
Small Group Indicator
Platform
Group ID
Hold Eligibility
Situs State
Next Renewal Date
Market Segment
Plan Funding Type
Carrier Name
Product
Plan Name
Coverage Details
Status
SIC ID
Demographics
Plan Information
Benefit Administrator Details (including demographics)
Broker Information</t>
  </si>
  <si>
    <t>Verify as a Broker I should be able to see my commission statement</t>
  </si>
  <si>
    <t>Broker is able to view the commission statement accurately in the system.</t>
  </si>
  <si>
    <t>Verify as a Employer group I should be able to see my COC</t>
  </si>
  <si>
    <t>Employer group can access and view the Certificate of Coverage (COC) correctly.</t>
  </si>
  <si>
    <t>Verify as a Employer group I should be able to see my subscriber and member list</t>
  </si>
  <si>
    <t>Employer group can view the complete and accurate subscriber and member list.</t>
  </si>
  <si>
    <t>Verify as a Employer group I should be able to see my employee information</t>
  </si>
  <si>
    <t>Employer group can view detailed and correct employee information.</t>
  </si>
  <si>
    <t>Verify we are able to search PCP for Products requring PCP</t>
  </si>
  <si>
    <t>PCP search functionality works correctly for products requiring PCP; accurate results are displayed.</t>
  </si>
  <si>
    <t>Verify if we are able to add a Member with COBRA</t>
  </si>
  <si>
    <t>Member with COBRA coverage is successfully added and displayed correctly.</t>
  </si>
  <si>
    <t>Verify if we are able to Add Member PCP</t>
  </si>
  <si>
    <t>PCP is successfully added for the member and displayed correctly.</t>
  </si>
  <si>
    <t>Verify if we are able to update Member PCP</t>
  </si>
  <si>
    <t>PCP update for the member is successful and reflected accurately in the system.</t>
  </si>
  <si>
    <t>Billing</t>
  </si>
  <si>
    <t>BRMS/ Billing</t>
  </si>
  <si>
    <t>BRMS Testing Data Requirements
The BRMS team should be able to generate invoices based on the testing data.
Group and Member validation must be completed prior to inclusion in the BRMS test data. All relevant requirements should be updated in Cirrus Group/Member as per business needs.
Producer information should be accurately validated and updated.
BRMS should receive:
The PCMT file shared by the DSS team.
MG/Membership information shared by the E2E team.</t>
  </si>
  <si>
    <t xml:space="preserve"> BRMS Test Data &amp; Invoice Validation Steps
1. Group &amp; Member Validation:- Complete validation before including in BRMS test data.
2. Requirement Updates:- Ensure all requirements are updated in Cirrus Group/Member as per business needs.
3. Data Inputs for BRMS
BRMS must receive:
PCMT File from DSS.
Group/Membership info from E2E Test Team.
4. Invoice Validation Checklist
Verify the following in BRMS invoice:
Group/Customer ID and related details.
Billing Contact/Producer info and address.
Bill Charges based on:
Family Unit
Age-Based structure
Employee Count
Total Summary of Bill Charges</t>
  </si>
  <si>
    <t>Verify if membership eligiblity is streamed through Nimbus to BRMS</t>
  </si>
  <si>
    <t>Membership eligibility data is successfully streamed from Nimbus to BRMS without errors or data loss.</t>
  </si>
  <si>
    <t>Verfiy FTS is able to consume PCMT</t>
  </si>
  <si>
    <t>FTS system correctly consumes PCMT data and reflects it in downstream processes.</t>
  </si>
  <si>
    <t xml:space="preserve">Verify if we can see Member groups in Invoices </t>
  </si>
  <si>
    <t>Member groups are clearly visible and correctly listed in the generated invoices.</t>
  </si>
  <si>
    <t>Verify if we can see All plans in invoices ( Medical , Dental , Vision and Financial products )</t>
  </si>
  <si>
    <t>All plans (Medical, Dental, Vision, Financial products) are itemized and accurately displayed in invoices.</t>
  </si>
  <si>
    <t xml:space="preserve">Verify if can see Members in Invoices </t>
  </si>
  <si>
    <t>Individual members are listed in invoices with correct details and associated plans.</t>
  </si>
  <si>
    <t xml:space="preserve">Verify if based on the billing schedule on our group Billing calculation is correct. </t>
  </si>
  <si>
    <t>Billing calculations match the group’s billing schedule, with correct rates and timing.</t>
  </si>
  <si>
    <t xml:space="preserve">Verify if we can see our invoices in B&amp;E portal </t>
  </si>
  <si>
    <t>Invoices are accessible and correctly displayed in the B&amp;E portal without discrepancies.</t>
  </si>
  <si>
    <t>Commission</t>
  </si>
  <si>
    <t>Basics / Commission</t>
  </si>
  <si>
    <t>Group and Member Validation
Group and member validation must be completed to ensure inclusion in the BASICS test data. All related requirements should be accurately updated in Cirrus Group/Member in alignment with business needs.
Producer Information
Producer details must be thoroughly validated and updated to ensure accuracy.</t>
  </si>
  <si>
    <t>Group and member validation must be completed to ensure inclusion in the BASICS test data.
All requirements should be accurately updated in Cirrus Group/Member in accordance with business needs.</t>
  </si>
  <si>
    <t>Verfiy BASICS able to consume data sent by BRMS &amp; Cirrus</t>
  </si>
  <si>
    <t>BASICS successfully consumes data sent by BRMS and Cirrus without errors.</t>
  </si>
  <si>
    <t>Verify if we can see all our Member groups in commission statements.</t>
  </si>
  <si>
    <t>All member groups are accurately listed in the commission statements.</t>
  </si>
  <si>
    <t xml:space="preserve">Verify if our Producer / sales agent name is matching with Commission statements. </t>
  </si>
  <si>
    <t>Producer or sales agent name matches exactly with the name shown in commission statements.</t>
  </si>
  <si>
    <t>Verify if compensation type is service Fee or commission 
for Service fee we should see PEPM in statement as rate should be fixed based on the no. of employes 
for Commission there should be some percent of premium paid in to no. of employes in the group.</t>
  </si>
  <si>
    <t>Compensation type is correctly identified as Service Fee or Commission. For Service Fee, PEPM is shown with a fixed rate based on number of employees. For Commission, a percentage of premium paid is calculated based on group size.</t>
  </si>
  <si>
    <t>Verify if we can see Commissions for all products which we have in our groups.</t>
  </si>
  <si>
    <t>Commissions are visible for all products associated with the group.</t>
  </si>
  <si>
    <t>Verify if we are able to perform Cycle 2 and Cycle 3</t>
  </si>
  <si>
    <t>Cycle 2 and Cycle 3 processes are executed successfully with accurate data flow and no errors.</t>
  </si>
  <si>
    <t xml:space="preserve">Pre condition </t>
  </si>
  <si>
    <t>Claims Adjudication</t>
  </si>
  <si>
    <t>Claims Testing</t>
  </si>
  <si>
    <t>As both a provider and a member, I expect that claims submitted by me are processed successfully in accordance with the applicable benefit coverage.</t>
  </si>
  <si>
    <t>Claims submitted by me, in the capacity of both provider and member, should be successfully processed in accordance with the applicable benefit coverage and policy terms. The adjudication should reflect accurate application of eligibility, benefits, and any cost-sharing requirements, ensuring timely and correct reimbursement or payment outcomes.</t>
  </si>
  <si>
    <t>Professional claims- Physcian Services- Verify claims are adjudicated successfully and submitted to OFIN for Payment.</t>
  </si>
  <si>
    <t>Claim adjudicated successfully and submitted to OFIN for payment.</t>
  </si>
  <si>
    <t>Institutional Inpatient claim- Verify claims are adjudicated successfully and submitted to OFIN for Payment</t>
  </si>
  <si>
    <t>Institutional Outpatient claim- Verify claims are adjudicated successfully and submitted to OFIN for Payment</t>
  </si>
  <si>
    <t>OON Claim-Verify claims are adjudicated successfully and submitted to OFIN for Payment</t>
  </si>
  <si>
    <t>Specialist Claim- Verify claims are adjudicated successfully and submitted to OFIN for Payment</t>
  </si>
  <si>
    <t>Dependant Claim- Verify claims are adjudicated successfully and submitted to OFIN for Payment</t>
  </si>
  <si>
    <t>Tiering Scenarios</t>
  </si>
  <si>
    <t>Applicable for member's having Quality Tiering at benefit level</t>
  </si>
  <si>
    <t>TIER01 Verify if claim adjudicated succefully with Tier01 in CLA Screen</t>
  </si>
  <si>
    <t>TIER02 Verify if claim adjudicated succefully with Tier02 in CLA Screen</t>
  </si>
  <si>
    <t>Referral Scenarios</t>
  </si>
  <si>
    <t>Referral need to be created for member</t>
  </si>
  <si>
    <t>Referral required- Verify claims are adjudicated successfully and submitted to OFIN for Payment</t>
  </si>
  <si>
    <t>Auth need to be created for member</t>
  </si>
  <si>
    <t>Auth required-Verify claims are adjudicated successfully and submitted to OFIN for Payment</t>
  </si>
  <si>
    <t>Scenario is only applicable for ACO Network providers</t>
  </si>
  <si>
    <t xml:space="preserve">Referral Logic- Claim where servicing provider  is not members PCP but is part of same referral circle as the member's PCP and affiliated to same organization as the members PCP (No referral attached to the claim). Claim is adjudicated successfully and submitted to OFIN for Payment </t>
  </si>
  <si>
    <t>Referral Logic- Claim where servicing provider  is not members PCP and  is NOT part of same referral circle as the member's PCP. (No referral attached to the claim), Claim is denied for no referral</t>
  </si>
  <si>
    <t>Claim denied for no referral.</t>
  </si>
  <si>
    <t>Referral Logic-Claim where servicing provider is not members PCP and  is part of same referral circle as the member's PCP but affiliated to a different organization (No referral attached to the claim)Claim is adjudicated successfully and submitted to OFIN for Payment</t>
  </si>
  <si>
    <t>Referral Logic-Claim where servicing provider  is not members PCP and  is NOT part of same referral circle as the member's PCP but affiliated to same organization (No referral attached to the claim)Claim is denied for no referral</t>
  </si>
  <si>
    <t>Claims- EOB/PRAs</t>
  </si>
  <si>
    <t>EOB and PRA's</t>
  </si>
  <si>
    <t>For Alpha we need to spcificaly request for the EOB and PRA</t>
  </si>
  <si>
    <t>EOB and PRA are successfully generated for the claims</t>
  </si>
  <si>
    <t>EOB and PRA generated successfully.</t>
  </si>
  <si>
    <t>EOB and PRA have the correct information populated- Member &amp; Provider, Claim information, Payment information, Member/Provider responsibility, remark/deny codes</t>
  </si>
  <si>
    <t>All fields populated correctly as expected.</t>
  </si>
  <si>
    <t>Clinical- ICUE</t>
  </si>
  <si>
    <t>Clinical testing</t>
  </si>
  <si>
    <t>Creation of authorization and same should reflect in cirrus under the given member.
Validation points:
•	Reflecting of Auth created in Cirrus
•	Authorization ID 
•	Claim Setting
•	Program Type
•	Status Type
•	Place of Service
•	Service Description Type
•	Date of Service (Start &amp; End)
•	Procedure Frequency Type
•	Procedure Code
•	Units Allowed
•	Procedure Notes
•	Decision Outcome
•	Diagnosis Code
•	PCP Provider Details
•	Provider Details (Attending, Referring &amp; Servicing)</t>
  </si>
  <si>
    <t>Authorization is successfully created and visible in Cirrus under the given member.
All details match the request and system configuration:
Authorization ID: Displays correctly.
Claim Setting: Matches the intended claim type.
Program Type: Correct program is shown.
Status Type: Displays as per workflow (e.g., Approved/Pending).
Place of Service: Correct location is listed.
Service Description Type: Matches requested service.
Date of Service (Start &amp; End): Accurate start and end dates.
Procedure Frequency Type: Correct frequency displayed.
Procedure Code: Valid CPT/HCPCS code shown.
Units Allowed: Matches approved quantity.
Procedure Notes: Notes are captured properly.
Decision Outcome: Reflects correct decision.
Diagnosis Code: Correct ICD code displayed.
PCP Provider Details: Accurate PCP information.
Provider Details: Attending, Referring, and Servicing providers are correct.</t>
  </si>
  <si>
    <t>Authorization is successfully submitted from ICUE</t>
  </si>
  <si>
    <t>Authorization submitted successfully from ICUE.</t>
  </si>
  <si>
    <t>Creation of PCP Referral and same should reflect in cirrus under the given member.
Validation points:
•	Referral Number
•	Referral Start Date
•	Referral End Date
•	Visits Allowed
•	Referral Type
•	Diagnosis Code
•	PCP Provider Details
•	Provider Details (Servicing &amp; Referring)</t>
  </si>
  <si>
    <t>PCP Referral is successfully created and visible in Cirrus under the given member.
All details should display correctly:
Referral Number: Generated and visible.
Referral Start Date: Matches the request.
Referral End Date: Accurate as per request.
Visits Allowed: Correct number of visits shown.
Referral Type: Displays the correct type.
Diagnosis Code: Accurate ICD code shown.
PCP Provider Details: Correct PCP information.
Provider Details (Servicing &amp; Referring): Both provider details are accurate.</t>
  </si>
  <si>
    <t>Referral is successfully submitted from ICUE</t>
  </si>
  <si>
    <t>Referral submitted successfully from ICUE.</t>
  </si>
  <si>
    <t>PCP Assignment</t>
  </si>
  <si>
    <t>Validate pcp auto assignment for member</t>
  </si>
  <si>
    <t>Auto-assigned successfully based on default logic</t>
  </si>
  <si>
    <t>Validate pcp assignment using member home and work address</t>
  </si>
  <si>
    <t>Assigned using home address; work address considered when home PCP unavailable</t>
  </si>
  <si>
    <t>Validate PCP assignment within 30 miles and exceptions</t>
  </si>
  <si>
    <t>Assigned within 30 miles; exception handled correctly</t>
  </si>
  <si>
    <t>Validate continuous validation of pcp with member address update</t>
  </si>
  <si>
    <t>Updated automatically after address change</t>
  </si>
  <si>
    <t>Validate pcp success and failure messages during direct assignment</t>
  </si>
  <si>
    <t>Success message displayed for valid assignment; failure message shown for closed panel</t>
  </si>
  <si>
    <t>Validate pcp assignment through portals (SamX/B&amp;E)</t>
  </si>
  <si>
    <t>Assignment completed successfully via both portals</t>
  </si>
  <si>
    <t>Validate provider assignment for PCP term does not follow 15/30 rule</t>
  </si>
  <si>
    <t>Term assignment bypassed 15/30 rule as expected</t>
  </si>
  <si>
    <t>Validate PCP assignment can be done at group level/org level/individual provider level</t>
  </si>
  <si>
    <t>Assigned correctly at all levels</t>
  </si>
  <si>
    <t>Validate PCP assignment can be done with appropriate age/gender range</t>
  </si>
  <si>
    <t>Assignment validated for age/gender criteria</t>
  </si>
  <si>
    <t>Validate PCP assignment is done with appropriate network contract</t>
  </si>
  <si>
    <t>Assigned only to providers with valid network contract</t>
  </si>
  <si>
    <t>these test cases can be skip if there is no major change for PCP for our project</t>
  </si>
  <si>
    <t>Validate PCP contract is open ended 12/31/9999</t>
  </si>
  <si>
    <t>Contract end date verified as 12/31/9999</t>
  </si>
  <si>
    <t>Validate any PCP changes initiated by member follows 15/30 rule</t>
  </si>
  <si>
    <t>Member-initiated changes enforced 15/30 rule</t>
  </si>
  <si>
    <t>Validate direct PCP assignment can be done through Cirrus UI and all portals</t>
  </si>
  <si>
    <t>Direct assignment successful via Cirrus UI and portals</t>
  </si>
  <si>
    <t>Validate member enrollment service area validation for plans setup with service area restriction (HMO plans) Validate members are assigned to the appropriate MCO clinic location through org level assignment (Staff Model)</t>
  </si>
  <si>
    <t>Members assigned to correct MCO clinic location</t>
  </si>
  <si>
    <t>Validate that newborn members are assigned appropriate PCP</t>
  </si>
  <si>
    <t>Newborn members auto-assigned based on pediatric specialty</t>
  </si>
  <si>
    <t>Member makes plan change and doesn't specify different PCP; expect same PCP to be assigned</t>
  </si>
  <si>
    <t>Same PCP retained after plan change</t>
  </si>
  <si>
    <t>Member Group terms and then is reinstated; member should be reinstated with same PCP</t>
  </si>
  <si>
    <t>PCP reinstated correctly</t>
  </si>
  <si>
    <t>Member terms at member level but then reinstated with no gap; should be reinstated with same PCP</t>
  </si>
  <si>
    <t>PCP reinstated without issues</t>
  </si>
  <si>
    <t>Member requests PCP with closed panel but does not check Existing Patient; expect that this assignment will fail and PCP auto assigned</t>
  </si>
  <si>
    <t>Assignment failed; auto-assigned PCP</t>
  </si>
  <si>
    <t>Member requests PCP with closed panel but member checks Existing Patient; expect successful assignment</t>
  </si>
  <si>
    <t>Assignment successful as Existing Patient flag checked</t>
  </si>
  <si>
    <t>Provider is termed by network area and a replacement provider is indicated in the event; expect the member's PCP assignment of termed provider terms and the replacement provider is assigned</t>
  </si>
  <si>
    <t>PCP updated to replacement provider</t>
  </si>
  <si>
    <t>User Experience</t>
  </si>
  <si>
    <t>myUHC</t>
  </si>
  <si>
    <t>MY UHC
(Dashboard)</t>
  </si>
  <si>
    <t>Topic</t>
  </si>
  <si>
    <t>The testing data for the project must be accurately reflected in the MyUHC portal. The portal should be capable of consuming the data for the group installed as part of the project.
Validation Checklist: Ensure Parity with Cirrus
The following fields must be validated to ensure consistency between Cirrus and MyUHC:
1.	Member Information and Demographics
	Validate that all member details (e.g., name, DOB, address, contact info) are correctly displayed and match Cirrus records.
2.	ID Card Validation
	Confirm that ID cards for the following coverages are generated and displayed correctly: 
	Medical
	Dental
	Vision
3.	Copayment Limits
	Ensure copayment amounts are consistent between Cirrus and MyUHC for all applicable services.
4.	Coinsurance Limits
	Verify that coinsurance percentages and limits match between Cirrus and MyUHC.</t>
  </si>
  <si>
    <t>The data should reflect accurately in MyUHC to validate the required fields:
1.	Member Information- Member details should be populated on the dashboard of the application.
2.	ID Card Validation- Dummy ID cards should be validated from the dashboard.
3.	Copayment Amounts- Copay amounts should be validated from the member view in MyUHC and cross-checked with Cirrus for the following services: 
	Virtual Visit
	Primary Care Provider
	Specialist Visit
	Urgent Care
	Emergency Visit
4.	Coinsurance Amounts- Coinsurance amounts should be validated from both MyUHC and Cirrus for: 
	Out-of-Pocket (OOP) Family
	Out-of-Pocket (OOP) Individual</t>
  </si>
  <si>
    <t>View Referral (Gated)</t>
  </si>
  <si>
    <t xml:space="preserve">As a member on a gated plan, I have the ability to view any referrals submitted by my PCP </t>
  </si>
  <si>
    <t>Working as expected – referrals visible under 'My Referrals' section</t>
  </si>
  <si>
    <t>PCP Updated/Add  (Gated)</t>
  </si>
  <si>
    <t>As a member on gated plan, I have the ability to view my PCP auto-assigned during enrollment</t>
  </si>
  <si>
    <t>PCP details displayed correctly on dashboard</t>
  </si>
  <si>
    <t>PCP Update/Add (Non-Gated) Not Required</t>
  </si>
  <si>
    <t>As a member, on a Non-Gated Plan, although I do not require PCP, I have the ability to add/update a PCP on the dashboard when logging into myuhc</t>
  </si>
  <si>
    <t>Add/Update PCP option available and functional</t>
  </si>
  <si>
    <t>Medical Account Summary</t>
  </si>
  <si>
    <t>As a member, I have the ability to view my Individual/Family Deductible &amp; OOP Max accumulators on the dashboard when logging into myuhc</t>
  </si>
  <si>
    <t>Deductible and OOP Max values displayed accurately</t>
  </si>
  <si>
    <t>Recent Claims</t>
  </si>
  <si>
    <t>As a member, I have the ability to view recently submitted claims on the dashboard when logging into myuhc</t>
  </si>
  <si>
    <t>Recently submitted claims displayed correctly</t>
  </si>
  <si>
    <t>ID Card Modal Window</t>
  </si>
  <si>
    <t>As a member, I have the ability to view my ID Card Modal window based on the coverage I am enrolled in (Medical, Dental, Vision)</t>
  </si>
  <si>
    <t>ID Card modal opens and shows correct coverage details</t>
  </si>
  <si>
    <t>Guest Directory Search</t>
  </si>
  <si>
    <t>I am able to serach providers in Rally Guest Directory prior to logging in by selecting "Find a Doctor"</t>
  </si>
  <si>
    <t>Provider search works in Rally Guest Directory before login</t>
  </si>
  <si>
    <t>Find Care &amp; Costs</t>
  </si>
  <si>
    <t>Medical Directory Tile: (Search INN Primary Care Providers)</t>
  </si>
  <si>
    <t>As a member , I have the ability to access my authenticated directory and search    providers offered in my plan's network.</t>
  </si>
  <si>
    <t>Authenticated directory search returns correct in-network providers</t>
  </si>
  <si>
    <t>Medical Directory Tile: (Tier 1 icon display)</t>
  </si>
  <si>
    <t>As a member on plan w/ tiering applicable to (PCP/Specialists), providers designated as Tier 1 will display with an icon on the top of the page when accessing an authenticated experience of the directory</t>
  </si>
  <si>
    <t>Tier 1 icon displayed correctly for applicable providers</t>
  </si>
  <si>
    <t>Medical Directory Tile: (Treatment Cost Estimator)</t>
  </si>
  <si>
    <t>As a member, I have the ability to select an INN provider and receive a cost estimate based on my benefits for the service covered.</t>
  </si>
  <si>
    <t>Cost estimate generated successfully for selected INN provider</t>
  </si>
  <si>
    <t>Virtual Care Directory Tile (Healthiest You)</t>
  </si>
  <si>
    <t>As a member on a Level Funded plan, I have the ability to Access to Healthiest You when selecting Virtual Care</t>
  </si>
  <si>
    <t>Healthiest You access available under Virtual Care</t>
  </si>
  <si>
    <t>Behavioral Health Directory Tile</t>
  </si>
  <si>
    <t>As a member, on a plan offering mental health benefits, I have the ability to view behavioral health providers in my network (Ex: Psychiatrist, Psychologists, etc.)</t>
  </si>
  <si>
    <t>Behavioral health providers displayed correctly in network</t>
  </si>
  <si>
    <t>Vision Tile (EHB pediatric/Embedded Adult Vision Rider/Ancillary or Standalone)</t>
  </si>
  <si>
    <t>As a member enrolled in a plan that includes Vision coverage, I have the ability to find  Optometrists covered in my network.</t>
  </si>
  <si>
    <t>Optometrists found under Vision coverage search</t>
  </si>
  <si>
    <t>Dental Tile  (EHB pediatric/Embedded Adult Vision Rider/Ancillary or Standalone)</t>
  </si>
  <si>
    <t>As a member enrolled in a plan that includes Dental Coverage, I have the ability to find  any Dentist covered in my network</t>
  </si>
  <si>
    <t>Dentists found under Dental coverage search</t>
  </si>
  <si>
    <t>Coverage &amp; Benefits</t>
  </si>
  <si>
    <t>Medical Benefit Section</t>
  </si>
  <si>
    <t>As a member, I am able to view view copays for major level services covered in my plan (PCP, Specialist, ER Visit, Virtual Visit, Urgent Care Visit)</t>
  </si>
  <si>
    <t>Copays for major services displayed accurately</t>
  </si>
  <si>
    <t>View All Medical Coverage</t>
  </si>
  <si>
    <t>As a member, when selecting view all medical coverage I can view INN &amp; OON benefit language for benefits included in my plan (Ex:Diabetic Services, Behavioral Health Outpatient – Physicians Office, Hearing Aids)</t>
  </si>
  <si>
    <t>INN &amp; OON benefit language displayed correctly under medical coverage</t>
  </si>
  <si>
    <t>Mental Health Benefit Section</t>
  </si>
  <si>
    <t>As a member, I am able to view Mental Health Common Services offered in my plan</t>
  </si>
  <si>
    <t>Mental Health Common Services listed correctly</t>
  </si>
  <si>
    <t>View Mental Health Programs</t>
  </si>
  <si>
    <t>As a member on a UHC fully Insured plan, I am able to access Mental Health Hub to view information on mental health programs offered in my plan (Ex: AbleTo, Sanvello, Live &amp; Work Well for CA enrollees)</t>
  </si>
  <si>
    <t>Mental Health Hub accessible and programs displayed</t>
  </si>
  <si>
    <t>Dental Benefit Section (Standalone)</t>
  </si>
  <si>
    <t>As a member, If I am enrolled in an ancillary dental plan, I am able to view  my Plan Details &amp; Common Dental  Services covered in plan</t>
  </si>
  <si>
    <t>Ancillary dental plan details and common services displayed</t>
  </si>
  <si>
    <t>Dental Benefit Section (Embedded Coverage &amp; EHB: Pediatric for dependents under the age of 19)</t>
  </si>
  <si>
    <t>As a member, if I am enrolled in a plan with embedded dental coverage, I will be able to view my plan details in the Dental Section</t>
  </si>
  <si>
    <t>Embedded dental coverage details visible in Dental section</t>
  </si>
  <si>
    <t>Vision Benefit Section (Standalone &amp; EHB)</t>
  </si>
  <si>
    <t>As a member, if I am enrolled in an ancillary vision plan, I have the ability to SSO to the vision portal to view plan details &amp;  services covered in my plan</t>
  </si>
  <si>
    <t>SSO to vision portal successful and plan details displayed</t>
  </si>
  <si>
    <t>Plan Documents &amp; Forms</t>
  </si>
  <si>
    <t>As a member, I have the ability to view  documents and forms issued to me based on my coverage (Ex: IRS Tax forms, SBC, COC,SPD, ASA) for the plans that I am enrolled in</t>
  </si>
  <si>
    <t>Documents and forms accessible under 'My Documents' section</t>
  </si>
  <si>
    <t>Claims &amp; Accounts</t>
  </si>
  <si>
    <t>Claims Search and Validation</t>
  </si>
  <si>
    <t>As a member, I am able to view all claims and filter by Date of Service as part of my search</t>
  </si>
  <si>
    <t>Claims displayed with Date of Service filter working correctly</t>
  </si>
  <si>
    <t>Claim Details</t>
  </si>
  <si>
    <t xml:space="preserve">As a member, when selecting a Claim, I am able to view payment details based on service provided (Ex: Total Amount, Plan Paid, Member Responsibility) </t>
  </si>
  <si>
    <t>Payment details visible including Total Amount, Plan Paid, Member Responsibility</t>
  </si>
  <si>
    <t>Prior Authorizations</t>
  </si>
  <si>
    <t>As a member, I have  the ability to view my prior authorizations submitted by my provider in the top right hand corner of the claims page</t>
  </si>
  <si>
    <t>Prior authorizations displayed correctly on claims page</t>
  </si>
  <si>
    <t>Spending Overview</t>
  </si>
  <si>
    <t>As a member, I have the ability to view my current Medical Account Summary (Deductible/OOP max) reflecting an accurate representation based on my claims. If I am on a plan with tiered accumulators, I will be able to select Tier 1 vs INN Accumulators in a dropdown to see my progress for each.</t>
  </si>
  <si>
    <t>Medical Account Summary accurate; Tier 1 vs INN dropdown functional</t>
  </si>
  <si>
    <t>Submit a Claim</t>
  </si>
  <si>
    <t>As a member, I have the ability to submit a claim reimbursment form</t>
  </si>
  <si>
    <t>Claim reimbursement form submission successful</t>
  </si>
  <si>
    <t>Documents</t>
  </si>
  <si>
    <t>As a member, I have the ability to view claim documents based on my coverage</t>
  </si>
  <si>
    <t>Claim documents accessible based on coverage</t>
  </si>
  <si>
    <t>Explanation of Benefits</t>
  </si>
  <si>
    <t xml:space="preserve">As a member, when selecting a claim, I have the ability to view my explanation of benefits for the services incurred. </t>
  </si>
  <si>
    <t>Explanation of benefits displayed correctly for selected claim</t>
  </si>
  <si>
    <t>Support</t>
  </si>
  <si>
    <t>Click to Chat</t>
  </si>
  <si>
    <t>As a member, I have the ability to view the the hours of operation, I may chat with an agent to ask any questions about my health care plan</t>
  </si>
  <si>
    <t>Chat option available during hours of operation and functional</t>
  </si>
  <si>
    <t>ACET</t>
  </si>
  <si>
    <t>ACET BEO (Dashboard)</t>
  </si>
  <si>
    <t>The testing data for the project must be accurately reflected in ACET. To ensure parity with Cirrus, the following fields are required and must be validated:
1.	Group Eligibility
•	Policy Number
•	Plan Option
•	Effective Date
•	State Situs
2.	Group Setting
•	Group Eligibility
•	Contract Effective Date
•	Contract Expiration Date
3.	Member Listing
•	Member Details
•	Member Status
4.	Member Group Information</t>
  </si>
  <si>
    <t xml:space="preserve">To ensure accurate validation of required fields, the following conditions must be met:
1.	Group Eligibility and Contract Effectiveness
	The data in Cirrus and ACET must match for both group eligibility and contract effectiveness.
2.	Member Registration and Migration
	All members who are either registered or migrated in Cirrus should be reflected in ACET within the listing.
3.	Group Information Consistency
	Group details must be consistent between Cirrus and ACET.
</t>
  </si>
  <si>
    <t>Verify Group eligibility details</t>
  </si>
  <si>
    <t>As an agent, I have the ability to view Group Contract option version and cross validate in ACET</t>
  </si>
  <si>
    <t>Group Contract option version visible and validated in ACET</t>
  </si>
  <si>
    <t>Verify Group plan details</t>
  </si>
  <si>
    <t>As an agent, I have the ability to verify plans offered to a group including eff/exp dates from cirrus in ACET</t>
  </si>
  <si>
    <t>Plans verified with correct eff/exp dates from Cirrus in ACET</t>
  </si>
  <si>
    <t>Validate enrolled members</t>
  </si>
  <si>
    <t xml:space="preserve">As an agent, I am able to view members enrolled in a group in cirrus should also be displayed in ACET correctly
</t>
  </si>
  <si>
    <t>Members enrolled in group displayed correctly in ACET</t>
  </si>
  <si>
    <t>ACET Member flow (Dashboard)</t>
  </si>
  <si>
    <t xml:space="preserve">To ensure parity with Cirrus, the following required fields must be validated in ACET using the testing data:
•	Member Eligibility
•	Member Demographics
•	Benefit Date Stamping and Language
•	Claims
•	Accumulators
•	Primary Care Provider (PCP)
•	PCP Referral
•	Authorization
These validations are essential to confirm that ACET reflects the necessary data elements consistently with Cirrus.
</t>
  </si>
  <si>
    <t>All required fields validated successfully in ACET:
- Member Eligibility: Matches Cirrus
- Member Demographics: Accurate and consistent
- Benefit Date Stamping and Language: Correct format and aligned with Cirrus
- Claims: All test claims displayed correctly
- Accumulators: Values match expected
- PCP: Auto-assigned PCP displayed
- PCP Referral: Referral data visible
- Authorization: Authorization records present and accurate</t>
  </si>
  <si>
    <t>Policy Details (Medical Coverages)</t>
  </si>
  <si>
    <t>As an agent, I can view a member's medical coverage effective and end dates based on the medical plan they are enrolled in</t>
  </si>
  <si>
    <t>Medical coverage effective and end dates displayed accurately</t>
  </si>
  <si>
    <t>Banner display based on BOB</t>
  </si>
  <si>
    <t>As an agent, I can see  the book of buisness of the member's plans in a yellow banner located on the top of the member details page  (Ex: UHC Level Funded National Account)</t>
  </si>
  <si>
    <t>Book of business banner visible on member details page</t>
  </si>
  <si>
    <t>Policy Details (Speciality Benefits)</t>
  </si>
  <si>
    <t xml:space="preserve">As an agent, If a member is enrolled in Speciality Plans, I can validate  speciality coverage in a separate tab on the members detail page (Ex: Dental/Vision) </t>
  </si>
  <si>
    <t>Speciality coverage validated in separate tab (Dental/Vision)</t>
  </si>
  <si>
    <t>Policy Details (Ancillary Plans)</t>
  </si>
  <si>
    <t>As an agent, I can view ancillary product offerings available to the member I am servicing (Ex Service Plans: Advocate4me, HealthiestYou, RallyHealth Wellness Program) (Ex: Utilization Plans: Behaviroal Health Sanvello etc.)</t>
  </si>
  <si>
    <t>Ancillary product offerings displayed correctly</t>
  </si>
  <si>
    <t>PCP information</t>
  </si>
  <si>
    <t>As an agent, I have the ability to view a PCP assigned to the member and update upon request</t>
  </si>
  <si>
    <t>PCP details visible and update option functional</t>
  </si>
  <si>
    <t>Health Spend</t>
  </si>
  <si>
    <t>As an agent, I have the ability to view a member's spending account including total claims via INN / OON represented by a  graph</t>
  </si>
  <si>
    <t>Spending account graph displayed with INN/OON claims</t>
  </si>
  <si>
    <t>Plan Benefits</t>
  </si>
  <si>
    <t>Plan details</t>
  </si>
  <si>
    <t>As an agent, I have the ability to access details for a member's plan (Medical Plan ID, Effective date, End Date, etc.)</t>
  </si>
  <si>
    <t>Plan details (ID, Effective date, End Date) accessible</t>
  </si>
  <si>
    <t>Plan attributes</t>
  </si>
  <si>
    <t>As an agent, I have the ability to view the plan attributes offered in the member's plan (ex: UHPD)</t>
  </si>
  <si>
    <t>Plan attributes displayed correctly (UHPD)</t>
  </si>
  <si>
    <t>Accumulators</t>
  </si>
  <si>
    <t>As an agent, when selecting on the member's plan, I will be able to view the member's accumulators (Ded / OOP for Ind &amp; family) offered in their plan</t>
  </si>
  <si>
    <t>Accumulators for Ind &amp; family displayed correctly</t>
  </si>
  <si>
    <t>Benefit language Details: Non-B360  via UHC Level Funded &amp; Oxford</t>
  </si>
  <si>
    <t>As an agent, when accessing a member's benefit plan details page, I am able to select a benefit code for that member and view language for Tier 1, In-Network, Out-Of-Network services</t>
  </si>
  <si>
    <t>Benefit code selection shows correct Tier 1, INN, OON language</t>
  </si>
  <si>
    <t>Benefit language Details (B360) experience via UHC Fully Insured</t>
  </si>
  <si>
    <t>As an agent, when servicing a member on a (UHC Fully Insured/Tufts/River Valley) plan I am able to view a member's benefits  (Tier 1, In-Network, Out-of-Network)through an integrated experience of B360.</t>
  </si>
  <si>
    <t>Integrated B360 experience displays member benefits accurately</t>
  </si>
  <si>
    <t>Communications</t>
  </si>
  <si>
    <t>Documents verification (EOB, Benefit handbook, SBC etc)</t>
  </si>
  <si>
    <t>As an agent, I have the ability to search/view documents issued to the member (SBC, COC, EOB etc.)</t>
  </si>
  <si>
    <t>Documents (SBC, COC, EOB) accessible under member profile</t>
  </si>
  <si>
    <t>Coordination of Benefits</t>
  </si>
  <si>
    <t>Validate member's other insurance</t>
  </si>
  <si>
    <t xml:space="preserve">As an agent, if a member has health coverage with another carrier then it should be displayed against member name under commercial/govt </t>
  </si>
  <si>
    <t>Other carrier coverage displayed correctly under member name</t>
  </si>
  <si>
    <t>Group Eligibility</t>
  </si>
  <si>
    <t>Active Contract Option</t>
  </si>
  <si>
    <t xml:space="preserve">As an agent, I am able to view a member's current employer and the contract option of that  group including coverage effective/end date </t>
  </si>
  <si>
    <t>Employer and contract option details displayed accurately</t>
  </si>
  <si>
    <t>Provider Lookup</t>
  </si>
  <si>
    <t>Provider search</t>
  </si>
  <si>
    <t>As an agent, I have the ability to perform a provider lookup with the member's eligibility in focus. I can apply an filter based on the product design to search for a provider covered in the member's plan (Ex: Tiered provider, OXPLN, DDP etc.)</t>
  </si>
  <si>
    <t>Provider lookup functional with filters applied correctly</t>
  </si>
  <si>
    <t>View Claims</t>
  </si>
  <si>
    <t>ACET Claim Validation</t>
  </si>
  <si>
    <t>As an agent, I have the ability to view the member's claim and  validate payment details (Member resp / Prov resp / Total Billed etc)</t>
  </si>
  <si>
    <t>Claim payment details validated successfully</t>
  </si>
  <si>
    <t>ID card request</t>
  </si>
  <si>
    <t>Submit ID Card Request</t>
  </si>
  <si>
    <t>As an agent, I have the ability to submit an ID card request for member</t>
  </si>
  <si>
    <t>ID card request submission successful</t>
  </si>
  <si>
    <t>View Authorization</t>
  </si>
  <si>
    <t>View Auth</t>
  </si>
  <si>
    <t>As an agent, I have the ability to viewe a prior authorization submitted for the member I am servicing</t>
  </si>
  <si>
    <t>Prior authorization details displayed correctly</t>
  </si>
  <si>
    <t>Create Authorization</t>
  </si>
  <si>
    <t>ACET Create Auth</t>
  </si>
  <si>
    <t>As an agent, I have the ability to create an authorization for the member I am servicing when selecting the URL that will perform a SSO to ICUE</t>
  </si>
  <si>
    <t>Authorization creation via ICUE SSO successful</t>
  </si>
  <si>
    <t>View PCP referral</t>
  </si>
  <si>
    <t>Referral validation</t>
  </si>
  <si>
    <t>As an agent servicing  a member on a gated plan,  I should be able to view any referral submitted for that member.</t>
  </si>
  <si>
    <t>Referral details visible for gated plan members</t>
  </si>
  <si>
    <t>Group Contract option version validated in ACET</t>
  </si>
  <si>
    <t>Group Plan</t>
  </si>
  <si>
    <t>Plans verified with eff/exp dates from Cirrus in ACET</t>
  </si>
  <si>
    <t>View member listing</t>
  </si>
  <si>
    <t>As an agent, I am able to view members enrolled in a group in cirrus should also be displayed in ACET correctly</t>
  </si>
  <si>
    <t>Group enrollment details displayed correctly in ACET</t>
  </si>
  <si>
    <t>Spire (Dashboard)</t>
  </si>
  <si>
    <t>To ensure parity with Cirrus, the following required fields must be validated in Spire using the testing data:
•	Member Eligibility
•	Member Demographics
•	Benefit Date Stamping and Language
•	Claims
•	Accumulators
•	Primary Care Provider (PCP)
•	PCP Referral
•	Authorization
These validations are essential to confirm that Spire reflects the necessary data elements consistently with Cirrus.</t>
  </si>
  <si>
    <t>All required fields validated successfully in Spire:
- Member Eligibility: Matches Cirrus
- Member Demographics: Accurate and consistent
- Benefit Date Stamping and Language: Correct format and aligned with Cirrus
- Claims: All test claims displayed correctly
- Accumulators: Values match expected
- PCP: Auto-assigned PCP displayed
- PCP Referral: Referral data visible
- Authorization: Authorization records present and accurate</t>
  </si>
  <si>
    <t>Search providers</t>
  </si>
  <si>
    <t>As an agent, I have the ability to search providers with the help of filters and verify details of a particular provider in cirrus.</t>
  </si>
  <si>
    <t>Provider search works with filters and details verified in Cirrus</t>
  </si>
  <si>
    <t>General Information</t>
  </si>
  <si>
    <t>As an agent, I have the ability to view Provider details (Name, Addresses, Contact information.)</t>
  </si>
  <si>
    <t>Provider details (Name, Address, Contact) displayed correctly</t>
  </si>
  <si>
    <t>Active Affiliations</t>
  </si>
  <si>
    <t>As an agent, I have the ability to view Provider speciality, affiliation and effective date from Cirrus (Speciality is under Taxonomy tab in cirrus)</t>
  </si>
  <si>
    <t>Speciality, affiliation, and effective date visible under Taxonomy tab</t>
  </si>
  <si>
    <t>Contracts</t>
  </si>
  <si>
    <t>As an agent, I have the ability to view contract details for a provider (ex: Network id, pricing set)</t>
  </si>
  <si>
    <t>Contract details (Network ID, pricing set) displayed accurately</t>
  </si>
  <si>
    <t xml:space="preserve">Member Snapshot </t>
  </si>
  <si>
    <t>As an agent , I have the ability to verify Household ,member Details, Policy Details, PCP History</t>
  </si>
  <si>
    <t>Household, member details, policy details, PCP history verified successfully</t>
  </si>
  <si>
    <t>Member Snapshot/Claim Detail</t>
  </si>
  <si>
    <t xml:space="preserve">As an agent , I have the ability to verify COB </t>
  </si>
  <si>
    <t>COB information displayed and validated</t>
  </si>
  <si>
    <t>PA check (Provider and Member Information)</t>
  </si>
  <si>
    <t>As an agent , I have ability to check member and provider information .</t>
  </si>
  <si>
    <t>Member and provider information accessible and accurate</t>
  </si>
  <si>
    <t>PA check (Create Auth)</t>
  </si>
  <si>
    <t>As an agent, I have the ability to Create Auth in Spire successfully</t>
  </si>
  <si>
    <t>Auth creation successful in Spire</t>
  </si>
  <si>
    <t>Auth Verification (Cirrus and icue)</t>
  </si>
  <si>
    <t>Verify if auth is reflecting in cirrus and ICUE</t>
  </si>
  <si>
    <t>Auth reflected correctly in Cirrus and ICUE</t>
  </si>
  <si>
    <t>Authorization Results</t>
  </si>
  <si>
    <t>As an agent, I have the ability to view the auth in Spire.</t>
  </si>
  <si>
    <t>Auth details visible in Spire</t>
  </si>
  <si>
    <t>Authorization Status</t>
  </si>
  <si>
    <t>As an agent , I have the ability to verify auth if all required information is showing in auth.</t>
  </si>
  <si>
    <t>Auth shows all required information correctly</t>
  </si>
  <si>
    <t>Create Referral</t>
  </si>
  <si>
    <t>As an agent, I have the ability to Create Referral in spire</t>
  </si>
  <si>
    <t>Referral creation successful in Spire</t>
  </si>
  <si>
    <t>Referral Results</t>
  </si>
  <si>
    <t>As an agent, I am able to verify referral in spire</t>
  </si>
  <si>
    <t>Referral verified successfully in Spire</t>
  </si>
  <si>
    <t>Benefit Accumulations (Therapy &amp; Non Therapy)</t>
  </si>
  <si>
    <t>As an agent , I have the ability to verify benefit accumulations (Therapy , Dental, vision, DME etc)</t>
  </si>
  <si>
    <t>Benefit accumulations (Therapy, Dental, Vision, DME) displayed correctly</t>
  </si>
  <si>
    <t xml:space="preserve">Benefit Details </t>
  </si>
  <si>
    <t>As an agent , I have the ability to verify benefit details (Benefit Language , INN/OON Coverage and Benefit Category/Description/Cost Share)</t>
  </si>
  <si>
    <t>Benefit details including INN/OON coverage and cost share verified</t>
  </si>
  <si>
    <t>Financials</t>
  </si>
  <si>
    <t>As an agent , I have the ability to verify Verify members responsibility met ( Cost share INN , OON and Tier1)</t>
  </si>
  <si>
    <t>Member responsibility (Cost share INN, OON, Tier1) displayed accurately</t>
  </si>
  <si>
    <t>Claim Results</t>
  </si>
  <si>
    <t>As an agent , I have the ability to verify claim in spire</t>
  </si>
  <si>
    <t>Claim details verified successfully in Spire</t>
  </si>
  <si>
    <t>Appeal Results</t>
  </si>
  <si>
    <t>As an agent , I have the ability to verify appeals submitted.</t>
  </si>
  <si>
    <t>Appeals submitted displayed and validated</t>
  </si>
  <si>
    <t>Payment Results</t>
  </si>
  <si>
    <t>As an agent , I have the ability to verify payments for both member and provider topics.</t>
  </si>
  <si>
    <t>Payments for member and provider topics verified correctly</t>
  </si>
  <si>
    <t>As an agent , I have the ability to serach provider in spire</t>
  </si>
  <si>
    <t>Provider search in Spire functional</t>
  </si>
  <si>
    <t>Provider Results</t>
  </si>
  <si>
    <t>Verify if we are able to see providers results after search</t>
  </si>
  <si>
    <t>Provider results displayed after search</t>
  </si>
  <si>
    <t>Provider Details</t>
  </si>
  <si>
    <t>As an agent I have the ability to verify details of searched provider.</t>
  </si>
  <si>
    <t>Details of searched provider displayed accurately</t>
  </si>
  <si>
    <t>Provider Portal</t>
  </si>
  <si>
    <t>Verify As a Provider, I should  be able to view the Rally Connect Guest Directory</t>
  </si>
  <si>
    <t>Rally Connect Guest Directory is accessible; provider can view directory without authentication</t>
  </si>
  <si>
    <t>As a provider, I need to be able to see the appropriate networks in the guest directories</t>
  </si>
  <si>
    <t>Guest directory displays correct network options based on provider’s location and plan configuration</t>
  </si>
  <si>
    <t>Member Eligibility Search</t>
  </si>
  <si>
    <t>As a provider, I can search a member participating in my network and view eligbility details</t>
  </si>
  <si>
    <t>Member search returns accurate results; eligibility details (coverage status, effective dates) displayed correctly</t>
  </si>
  <si>
    <t>Beach</t>
  </si>
  <si>
    <t>Verify benefit language in BEACH application</t>
  </si>
  <si>
    <t>Benefit language displayed correctly in BEACH application</t>
  </si>
  <si>
    <t xml:space="preserve">Verify Coverage Inforamtion in BEACH </t>
  </si>
  <si>
    <t>Coverage information displayed accurately in BEACH</t>
  </si>
  <si>
    <t>Verify we are able to pull plan documents from Coerage or Costs Tab.</t>
  </si>
  <si>
    <t>Plan documents successfully retrieved from Coverage or Costs tab</t>
  </si>
  <si>
    <t>Total</t>
  </si>
  <si>
    <t>% Executed</t>
  </si>
  <si>
    <t xml:space="preserve">% Passed </t>
  </si>
  <si>
    <t>Start Date</t>
  </si>
  <si>
    <t>Finish Date</t>
  </si>
  <si>
    <t>Current Defects</t>
  </si>
  <si>
    <t>Case Install</t>
  </si>
  <si>
    <t>Fulfillment</t>
  </si>
  <si>
    <t>Extracts(NF)</t>
  </si>
  <si>
    <t>Maintenance</t>
  </si>
  <si>
    <t>Bill&amp;Comm</t>
  </si>
  <si>
    <t>ClmsClin</t>
  </si>
  <si>
    <t>Digital</t>
  </si>
  <si>
    <t>Defect ID</t>
  </si>
  <si>
    <t>Description</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</si>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</sst>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sz val="8"/>
      <name val="Calibri"/>
      <family val="2"/>
      <scheme val="minor"/>
    </font>
    <font>
      <b/>
      <sz val="11"/>
      <color theme="1"/>
      <name val="Calibri"/>
      <family val="2"/>
      <scheme val="minor"/>
    </font>
    <font>
      <b/>
      <sz val="9"/>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8"/>
      <color theme="1"/>
      <name val="Calibri"/>
      <family val="2"/>
      <scheme val="minor"/>
    </font>
    <font>
      <sz val="10"/>
      <name val="Arial"/>
      <family val="2"/>
    </font>
    <font>
      <u/>
      <sz val="11"/>
      <color theme="1"/>
      <name val="Calibri"/>
      <family val="2"/>
      <scheme val="minor"/>
    </font>
    <font>
      <b/>
      <sz val="14"/>
      <name val="Arial"/>
      <family val="2"/>
    </font>
    <font>
      <b/>
      <sz val="14"/>
      <color theme="1"/>
      <name val="Calibri"/>
      <family val="2"/>
      <scheme val="minor"/>
    </font>
    <font>
      <b/>
      <sz val="14"/>
      <name val="Calibri"/>
      <family val="2"/>
      <scheme val="minor"/>
    </font>
    <font>
      <b/>
      <sz val="14"/>
      <color rgb="FF000000"/>
      <name val="Calibri"/>
      <family val="2"/>
    </font>
    <font>
      <sz val="8"/>
      <color indexed="81"/>
      <name val="Tahoma"/>
      <family val="2"/>
    </font>
    <font>
      <sz val="11"/>
      <color rgb="FF242424"/>
      <name val="Calibri"/>
      <family val="2"/>
      <scheme val="minor"/>
    </font>
  </fonts>
  <fills count="10">
    <fill>
      <patternFill patternType="none"/>
    </fill>
    <fill>
      <patternFill patternType="gray125"/>
    </fill>
    <fill>
      <patternFill patternType="solid">
        <fgColor theme="3" tint="0.499984740745262"/>
        <bgColor indexed="64"/>
      </patternFill>
    </fill>
    <fill>
      <patternFill patternType="solid">
        <fgColor rgb="FFFFCCFF"/>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8" fillId="0" borderId="0"/>
  </cellStyleXfs>
  <cellXfs count="60">
    <xf numFmtId="0" fontId="0" fillId="0" borderId="0" xfId="0"/>
    <xf numFmtId="0" fontId="0" fillId="0" borderId="1" xfId="0" applyBorder="1"/>
    <xf numFmtId="0" fontId="2" fillId="2" borderId="1" xfId="0" applyFont="1" applyFill="1" applyBorder="1" applyAlignment="1">
      <alignment horizontal="center" vertical="center" wrapText="1"/>
    </xf>
    <xf numFmtId="0" fontId="0" fillId="0" borderId="0" xfId="0" applyAlignment="1">
      <alignment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4" borderId="0" xfId="0" applyFill="1" applyAlignment="1">
      <alignment wrapText="1"/>
    </xf>
    <xf numFmtId="0" fontId="2" fillId="0" borderId="0" xfId="0" applyFont="1" applyAlignment="1">
      <alignment wrapText="1"/>
    </xf>
    <xf numFmtId="0" fontId="0" fillId="0" borderId="1" xfId="0" applyBorder="1" applyAlignment="1">
      <alignment horizontal="center" vertical="center"/>
    </xf>
    <xf numFmtId="0" fontId="3" fillId="3" borderId="1" xfId="0" applyFont="1" applyFill="1"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3" borderId="1" xfId="0" applyFill="1" applyBorder="1" applyAlignment="1">
      <alignment horizontal="center" vertical="center"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5" fillId="0" borderId="1" xfId="0" applyFont="1" applyBorder="1" applyAlignment="1">
      <alignment wrapText="1"/>
    </xf>
    <xf numFmtId="0" fontId="0" fillId="0" borderId="1" xfId="0" applyBorder="1" applyAlignment="1">
      <alignment wrapText="1"/>
    </xf>
    <xf numFmtId="0" fontId="3" fillId="3"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7"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xf numFmtId="0" fontId="2" fillId="3"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2" fillId="3" borderId="6" xfId="0" applyFont="1" applyFill="1" applyBorder="1" applyAlignment="1">
      <alignment horizontal="center" vertical="center" wrapText="1"/>
    </xf>
    <xf numFmtId="0" fontId="9" fillId="0" borderId="0" xfId="0" applyFont="1" applyAlignment="1">
      <alignment wrapText="1"/>
    </xf>
    <xf numFmtId="1" fontId="11" fillId="0" borderId="1" xfId="0" applyNumberFormat="1" applyFont="1" applyBorder="1" applyAlignment="1">
      <alignment horizontal="center" vertical="center"/>
    </xf>
    <xf numFmtId="0" fontId="10" fillId="7" borderId="8"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10" fillId="5" borderId="9" xfId="1" applyFont="1" applyFill="1" applyBorder="1" applyAlignment="1">
      <alignment horizontal="center" vertical="center" wrapText="1"/>
    </xf>
    <xf numFmtId="0" fontId="11" fillId="7" borderId="7" xfId="0" applyFont="1" applyFill="1" applyBorder="1" applyAlignment="1">
      <alignment horizontal="center" vertical="center"/>
    </xf>
    <xf numFmtId="1" fontId="12" fillId="0" borderId="1" xfId="0" applyNumberFormat="1" applyFont="1" applyBorder="1" applyAlignment="1">
      <alignment horizontal="center" vertical="center"/>
    </xf>
    <xf numFmtId="164" fontId="11" fillId="0" borderId="1" xfId="0" applyNumberFormat="1" applyFont="1" applyBorder="1" applyAlignment="1">
      <alignment horizontal="center" vertical="center"/>
    </xf>
    <xf numFmtId="14" fontId="13" fillId="0" borderId="1" xfId="0" applyNumberFormat="1" applyFont="1" applyBorder="1" applyAlignment="1">
      <alignment horizontal="center" vertical="center" wrapText="1"/>
    </xf>
    <xf numFmtId="14" fontId="12" fillId="6" borderId="1" xfId="0" applyNumberFormat="1" applyFont="1" applyFill="1" applyBorder="1" applyAlignment="1">
      <alignment horizontal="center" vertical="center" wrapText="1"/>
    </xf>
    <xf numFmtId="12" fontId="13" fillId="0" borderId="11" xfId="0" applyNumberFormat="1" applyFont="1" applyBorder="1" applyAlignment="1">
      <alignment horizontal="center" vertical="center" wrapText="1"/>
    </xf>
    <xf numFmtId="14" fontId="13" fillId="0" borderId="11" xfId="0" applyNumberFormat="1" applyFont="1" applyBorder="1" applyAlignment="1">
      <alignment horizontal="center" vertical="center" wrapText="1"/>
    </xf>
    <xf numFmtId="0" fontId="12" fillId="6" borderId="1" xfId="0" applyFont="1" applyFill="1" applyBorder="1" applyAlignment="1">
      <alignment horizontal="center" vertical="center" wrapText="1"/>
    </xf>
    <xf numFmtId="164" fontId="11" fillId="8" borderId="13" xfId="0" applyNumberFormat="1" applyFont="1" applyFill="1" applyBorder="1" applyAlignment="1">
      <alignment horizontal="center" vertical="center"/>
    </xf>
    <xf numFmtId="0" fontId="11" fillId="0" borderId="10" xfId="0" applyFont="1" applyBorder="1" applyAlignment="1">
      <alignment horizontal="center" vertical="center"/>
    </xf>
    <xf numFmtId="0" fontId="11" fillId="8" borderId="12" xfId="0" applyFont="1" applyFill="1" applyBorder="1" applyAlignment="1">
      <alignment horizontal="center" vertical="center"/>
    </xf>
    <xf numFmtId="1" fontId="11" fillId="8" borderId="13" xfId="0" applyNumberFormat="1" applyFont="1" applyFill="1" applyBorder="1" applyAlignment="1">
      <alignment horizontal="center" vertical="center"/>
    </xf>
    <xf numFmtId="0" fontId="11" fillId="8" borderId="13" xfId="0" applyFont="1" applyFill="1" applyBorder="1" applyAlignment="1">
      <alignment horizontal="center" vertical="center"/>
    </xf>
    <xf numFmtId="0" fontId="11" fillId="8" borderId="14" xfId="0" applyFont="1" applyFill="1" applyBorder="1" applyAlignment="1">
      <alignment horizontal="center" vertical="center" wrapText="1"/>
    </xf>
    <xf numFmtId="0" fontId="0" fillId="9" borderId="1" xfId="0" applyFill="1" applyBorder="1" applyAlignment="1">
      <alignment horizontal="center" vertical="center" wrapText="1"/>
    </xf>
    <xf numFmtId="0" fontId="2" fillId="2" borderId="1" xfId="0" applyFont="1" applyFill="1" applyBorder="1" applyAlignment="1" applyProtection="1">
      <alignment horizontal="center" vertical="center" wrapText="1"/>
      <protection locked="0"/>
    </xf>
    <xf numFmtId="0" fontId="0" fillId="0" borderId="0" xfId="0" applyProtection="1">
      <protection locked="0"/>
    </xf>
    <xf numFmtId="0" fontId="2" fillId="3" borderId="1" xfId="0" applyFont="1" applyFill="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3" fillId="3" borderId="1" xfId="0" applyFont="1" applyFill="1" applyBorder="1" applyAlignment="1" applyProtection="1">
      <alignment horizontal="left" vertical="top" wrapText="1"/>
      <protection locked="0"/>
    </xf>
    <xf numFmtId="0" fontId="0" fillId="0" borderId="1" xfId="0" applyBorder="1" applyProtection="1">
      <protection locked="0"/>
    </xf>
    <xf numFmtId="0" fontId="5" fillId="0" borderId="1" xfId="0" applyFont="1" applyBorder="1" applyAlignment="1" applyProtection="1">
      <alignment wrapText="1"/>
      <protection locked="0"/>
    </xf>
    <xf numFmtId="0" fontId="0" fillId="0" borderId="1" xfId="0" applyBorder="1" applyAlignment="1" applyProtection="1">
      <alignment wrapText="1"/>
      <protection locked="0"/>
    </xf>
    <xf numFmtId="0" fontId="15" fillId="0" borderId="1" xfId="0" applyFont="1" applyBorder="1" applyAlignment="1">
      <alignment horizontal="left" vertical="top"/>
    </xf>
  </cellXfs>
  <cellStyles count="2">
    <cellStyle name="Normal" xfId="0" builtinId="0"/>
    <cellStyle name="Normal 14" xfId="1" xr:uid="{4B5699A7-3E72-4F60-9154-5125B3435337}"/>
  </cellStyles>
  <dxfs count="45">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
      <fill>
        <patternFill>
          <bgColor rgb="FFFFFFCC"/>
        </patternFill>
      </fill>
    </dxf>
    <dxf>
      <fill>
        <patternFill>
          <bgColor theme="9" tint="-0.24994659260841701"/>
        </patternFill>
      </fill>
    </dxf>
    <dxf>
      <fill>
        <patternFill>
          <bgColor rgb="FF92D050"/>
        </patternFill>
      </fill>
    </dxf>
    <dxf>
      <fill>
        <patternFill>
          <bgColor theme="7" tint="0.39994506668294322"/>
        </patternFill>
      </fill>
    </dxf>
    <dxf>
      <fill>
        <patternFill>
          <bgColor theme="7" tint="0.39994506668294322"/>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743E1-6D20-4C2C-97AB-F527FAD2FFAC}">
  <dimension ref="A1:Z1048554"/>
  <sheetViews>
    <sheetView tabSelected="1" zoomScale="90" zoomScaleNormal="90" workbookViewId="0">
      <pane ySplit="1" topLeftCell="A2" activePane="bottomLeft" state="frozen"/>
      <selection pane="bottomLeft" activeCell="A2" sqref="A2"/>
    </sheetView>
  </sheetViews>
  <sheetFormatPr defaultColWidth="38.42578125" defaultRowHeight="14.45"/>
  <cols>
    <col min="1" max="1" width="19" style="3" customWidth="1"/>
    <col min="2" max="2" width="25.7109375" style="7" bestFit="1" customWidth="1"/>
    <col min="3" max="3" width="9.42578125" style="7" customWidth="1"/>
    <col min="4" max="4" width="11.28515625" style="7" customWidth="1"/>
    <col min="5" max="5" width="5.42578125" style="7" bestFit="1" customWidth="1"/>
    <col min="6" max="6" width="59.28515625" style="7" customWidth="1"/>
    <col min="7" max="7" width="52" style="7" customWidth="1"/>
    <col min="8" max="8" width="8.42578125" style="7" bestFit="1" customWidth="1"/>
    <col min="9" max="9" width="10.5703125" style="7" bestFit="1" customWidth="1"/>
    <col min="10" max="10" width="12.28515625" style="7" customWidth="1"/>
    <col min="11" max="11" width="11.42578125" style="7" bestFit="1" customWidth="1"/>
    <col min="12" max="12" width="15.28515625" style="7" bestFit="1" customWidth="1"/>
    <col min="13" max="16384" width="38.42578125" style="3"/>
  </cols>
  <sheetData>
    <row r="1" spans="1:12" ht="42" customHeight="1">
      <c r="A1" s="2" t="s">
        <v>0</v>
      </c>
      <c r="B1" s="2" t="s">
        <v>1</v>
      </c>
      <c r="C1" s="2" t="s">
        <v>2</v>
      </c>
      <c r="D1" s="2" t="s">
        <v>3</v>
      </c>
      <c r="E1" s="2" t="s">
        <v>4</v>
      </c>
      <c r="F1" s="2" t="s">
        <v>5</v>
      </c>
      <c r="G1" s="2" t="s">
        <v>6</v>
      </c>
      <c r="H1" s="2" t="s">
        <v>7</v>
      </c>
      <c r="I1" s="2" t="s">
        <v>8</v>
      </c>
      <c r="J1" s="2" t="s">
        <v>9</v>
      </c>
      <c r="K1" s="2" t="s">
        <v>10</v>
      </c>
      <c r="L1" s="2" t="s">
        <v>11</v>
      </c>
    </row>
    <row r="2" spans="1:12" ht="115.15">
      <c r="A2" s="49" t="s">
        <v>12</v>
      </c>
      <c r="B2" s="4" t="s">
        <v>13</v>
      </c>
      <c r="C2" s="4"/>
      <c r="D2" s="4"/>
      <c r="E2" s="4"/>
      <c r="F2" s="4" t="s">
        <v>14</v>
      </c>
      <c r="G2" s="4" t="s">
        <v>15</v>
      </c>
      <c r="H2" s="4"/>
      <c r="I2" s="4"/>
      <c r="J2" s="4"/>
      <c r="K2" s="4"/>
      <c r="L2" s="4"/>
    </row>
    <row r="3" spans="1:12" ht="43.15">
      <c r="A3" s="49" t="s">
        <v>12</v>
      </c>
      <c r="B3" s="5"/>
      <c r="C3" s="5"/>
      <c r="D3" s="5"/>
      <c r="E3" s="5" t="s">
        <v>16</v>
      </c>
      <c r="F3" s="5" t="s">
        <v>17</v>
      </c>
      <c r="G3" s="5" t="s">
        <v>18</v>
      </c>
      <c r="H3" s="8" t="s">
        <v>19</v>
      </c>
      <c r="I3" s="5"/>
      <c r="J3" s="5" t="s">
        <v>20</v>
      </c>
      <c r="K3" s="5"/>
      <c r="L3" s="5"/>
    </row>
    <row r="4" spans="1:12" ht="28.9">
      <c r="A4" s="49" t="s">
        <v>12</v>
      </c>
      <c r="B4" s="5"/>
      <c r="C4" s="5"/>
      <c r="D4" s="5"/>
      <c r="E4" s="5" t="s">
        <v>21</v>
      </c>
      <c r="F4" s="5" t="s">
        <v>22</v>
      </c>
      <c r="G4" s="5" t="s">
        <v>23</v>
      </c>
      <c r="H4" s="8" t="s">
        <v>19</v>
      </c>
      <c r="I4" s="5"/>
      <c r="J4" s="5"/>
      <c r="K4" s="5"/>
      <c r="L4" s="5"/>
    </row>
    <row r="5" spans="1:12" ht="28.9">
      <c r="A5" s="49" t="s">
        <v>12</v>
      </c>
      <c r="B5" s="5"/>
      <c r="C5" s="5"/>
      <c r="D5" s="5"/>
      <c r="E5" s="5" t="s">
        <v>24</v>
      </c>
      <c r="F5" s="5" t="s">
        <v>25</v>
      </c>
      <c r="G5" s="5" t="s">
        <v>26</v>
      </c>
      <c r="H5" s="8" t="s">
        <v>19</v>
      </c>
      <c r="I5" s="5"/>
      <c r="J5" s="5"/>
      <c r="K5" s="5"/>
      <c r="L5" s="5"/>
    </row>
    <row r="6" spans="1:12" ht="28.9">
      <c r="A6" s="49" t="s">
        <v>12</v>
      </c>
      <c r="B6" s="5"/>
      <c r="C6" s="5"/>
      <c r="D6" s="5"/>
      <c r="E6" s="5" t="s">
        <v>27</v>
      </c>
      <c r="F6" s="5" t="s">
        <v>28</v>
      </c>
      <c r="G6" s="5" t="s">
        <v>29</v>
      </c>
      <c r="H6" s="8" t="s">
        <v>19</v>
      </c>
      <c r="I6" s="5"/>
      <c r="J6" s="5"/>
      <c r="K6" s="5"/>
      <c r="L6" s="5"/>
    </row>
    <row r="7" spans="1:12" ht="28.9">
      <c r="A7" s="49" t="s">
        <v>12</v>
      </c>
      <c r="B7" s="5"/>
      <c r="C7" s="5"/>
      <c r="D7" s="5"/>
      <c r="E7" s="5" t="s">
        <v>30</v>
      </c>
      <c r="F7" s="5" t="s">
        <v>31</v>
      </c>
      <c r="G7" s="5" t="s">
        <v>32</v>
      </c>
      <c r="H7" s="8" t="s">
        <v>19</v>
      </c>
      <c r="I7" s="5"/>
      <c r="J7" s="5"/>
      <c r="K7" s="5"/>
      <c r="L7" s="5"/>
    </row>
    <row r="8" spans="1:12" ht="28.9">
      <c r="A8" s="49" t="s">
        <v>12</v>
      </c>
      <c r="B8" s="5"/>
      <c r="C8" s="5"/>
      <c r="D8" s="5"/>
      <c r="E8" s="5" t="s">
        <v>33</v>
      </c>
      <c r="F8" s="5" t="s">
        <v>34</v>
      </c>
      <c r="G8" s="5" t="s">
        <v>35</v>
      </c>
      <c r="H8" s="8" t="s">
        <v>19</v>
      </c>
      <c r="I8" s="5"/>
      <c r="J8" s="5"/>
      <c r="K8" s="5"/>
      <c r="L8" s="5"/>
    </row>
    <row r="9" spans="1:12" ht="28.9">
      <c r="A9" s="49" t="s">
        <v>12</v>
      </c>
      <c r="B9" s="5"/>
      <c r="C9" s="5"/>
      <c r="D9" s="5"/>
      <c r="E9" s="5" t="s">
        <v>36</v>
      </c>
      <c r="F9" s="5" t="s">
        <v>37</v>
      </c>
      <c r="G9" s="5" t="s">
        <v>38</v>
      </c>
      <c r="H9" s="8" t="s">
        <v>19</v>
      </c>
      <c r="I9" s="5"/>
      <c r="J9" s="5"/>
      <c r="K9" s="5"/>
      <c r="L9" s="5"/>
    </row>
    <row r="10" spans="1:12" ht="28.9">
      <c r="A10" s="49" t="s">
        <v>12</v>
      </c>
      <c r="B10" s="5"/>
      <c r="C10" s="5"/>
      <c r="D10" s="5"/>
      <c r="E10" s="5" t="s">
        <v>39</v>
      </c>
      <c r="F10" s="5" t="s">
        <v>40</v>
      </c>
      <c r="G10" s="5" t="s">
        <v>41</v>
      </c>
      <c r="H10" s="8" t="s">
        <v>19</v>
      </c>
      <c r="I10" s="5"/>
      <c r="J10" s="5"/>
      <c r="K10" s="5"/>
      <c r="L10" s="5"/>
    </row>
    <row r="11" spans="1:12" ht="28.9">
      <c r="A11" s="49" t="s">
        <v>12</v>
      </c>
      <c r="B11" s="5"/>
      <c r="C11" s="5"/>
      <c r="D11" s="5"/>
      <c r="E11" s="5" t="s">
        <v>42</v>
      </c>
      <c r="F11" s="5" t="s">
        <v>43</v>
      </c>
      <c r="G11" s="5" t="s">
        <v>44</v>
      </c>
      <c r="H11" s="8" t="s">
        <v>19</v>
      </c>
      <c r="I11" s="5"/>
      <c r="J11" s="5"/>
      <c r="K11" s="5"/>
      <c r="L11" s="5"/>
    </row>
    <row r="12" spans="1:12" ht="28.9">
      <c r="A12" s="49" t="s">
        <v>12</v>
      </c>
      <c r="B12" s="5"/>
      <c r="C12" s="5"/>
      <c r="D12" s="5"/>
      <c r="E12" s="5" t="s">
        <v>45</v>
      </c>
      <c r="F12" s="5" t="s">
        <v>46</v>
      </c>
      <c r="G12" s="5" t="s">
        <v>47</v>
      </c>
      <c r="H12" s="8" t="s">
        <v>19</v>
      </c>
      <c r="I12" s="5"/>
      <c r="J12" s="5"/>
      <c r="K12" s="5"/>
      <c r="L12" s="5"/>
    </row>
    <row r="13" spans="1:12" ht="28.9">
      <c r="A13" s="49" t="s">
        <v>12</v>
      </c>
      <c r="B13" s="5"/>
      <c r="C13" s="5"/>
      <c r="D13" s="5"/>
      <c r="E13" s="5" t="s">
        <v>48</v>
      </c>
      <c r="F13" s="5" t="s">
        <v>49</v>
      </c>
      <c r="G13" s="5" t="s">
        <v>50</v>
      </c>
      <c r="H13" s="8" t="s">
        <v>19</v>
      </c>
      <c r="I13" s="5"/>
      <c r="J13" s="5"/>
      <c r="K13" s="5"/>
      <c r="L13" s="5"/>
    </row>
    <row r="14" spans="1:12" ht="28.9">
      <c r="A14" s="49" t="s">
        <v>12</v>
      </c>
      <c r="B14" s="5"/>
      <c r="C14" s="5"/>
      <c r="D14" s="5"/>
      <c r="E14" s="5" t="s">
        <v>51</v>
      </c>
      <c r="F14" s="5" t="s">
        <v>52</v>
      </c>
      <c r="G14" s="5" t="s">
        <v>53</v>
      </c>
      <c r="H14" s="8" t="s">
        <v>19</v>
      </c>
      <c r="I14" s="5"/>
      <c r="J14" s="5"/>
      <c r="K14" s="5"/>
      <c r="L14" s="5"/>
    </row>
    <row r="15" spans="1:12" ht="28.9">
      <c r="A15" s="49" t="s">
        <v>12</v>
      </c>
      <c r="B15" s="4" t="s">
        <v>54</v>
      </c>
      <c r="C15" s="4"/>
      <c r="D15" s="4"/>
      <c r="E15" s="4"/>
      <c r="F15" s="4" t="s">
        <v>55</v>
      </c>
      <c r="G15" s="4"/>
      <c r="H15" s="4"/>
      <c r="I15" s="4"/>
      <c r="J15" s="4"/>
      <c r="K15" s="4"/>
      <c r="L15" s="4"/>
    </row>
    <row r="16" spans="1:12" ht="28.9">
      <c r="A16" s="49" t="s">
        <v>12</v>
      </c>
      <c r="B16" s="5"/>
      <c r="C16" s="5"/>
      <c r="D16" s="5"/>
      <c r="E16" s="5" t="s">
        <v>56</v>
      </c>
      <c r="F16" s="5" t="s">
        <v>57</v>
      </c>
      <c r="G16" s="5" t="s">
        <v>58</v>
      </c>
      <c r="H16" s="8" t="s">
        <v>19</v>
      </c>
      <c r="I16" s="5"/>
      <c r="J16" s="5"/>
      <c r="K16" s="5"/>
      <c r="L16" s="5"/>
    </row>
    <row r="17" spans="1:26" ht="28.9">
      <c r="A17" s="49" t="s">
        <v>12</v>
      </c>
      <c r="B17" s="5"/>
      <c r="C17" s="5"/>
      <c r="D17" s="5"/>
      <c r="E17" s="5" t="s">
        <v>59</v>
      </c>
      <c r="F17" s="5" t="s">
        <v>60</v>
      </c>
      <c r="G17" s="5" t="s">
        <v>61</v>
      </c>
      <c r="H17" s="8" t="s">
        <v>19</v>
      </c>
      <c r="I17" s="5"/>
      <c r="J17" s="5"/>
      <c r="K17" s="5"/>
      <c r="L17" s="5"/>
    </row>
    <row r="18" spans="1:26" ht="28.9">
      <c r="A18" s="49" t="s">
        <v>12</v>
      </c>
      <c r="B18" s="5"/>
      <c r="C18" s="5"/>
      <c r="D18" s="5"/>
      <c r="E18" s="5" t="s">
        <v>62</v>
      </c>
      <c r="F18" s="5" t="s">
        <v>63</v>
      </c>
      <c r="G18" s="5" t="s">
        <v>64</v>
      </c>
      <c r="H18" s="8" t="s">
        <v>19</v>
      </c>
      <c r="I18" s="5"/>
      <c r="J18" s="5"/>
      <c r="K18" s="5"/>
      <c r="L18" s="5"/>
    </row>
    <row r="19" spans="1:26" ht="28.9">
      <c r="A19" s="49" t="s">
        <v>12</v>
      </c>
      <c r="B19" s="5"/>
      <c r="C19" s="5"/>
      <c r="D19" s="5"/>
      <c r="E19" s="5" t="s">
        <v>65</v>
      </c>
      <c r="F19" s="5" t="s">
        <v>66</v>
      </c>
      <c r="G19" s="5" t="s">
        <v>67</v>
      </c>
      <c r="H19" s="8" t="s">
        <v>19</v>
      </c>
      <c r="I19" s="5"/>
      <c r="J19" s="5"/>
      <c r="K19" s="5"/>
      <c r="L19" s="5"/>
    </row>
    <row r="20" spans="1:26" s="6" customFormat="1" ht="28.9">
      <c r="A20" s="49" t="s">
        <v>12</v>
      </c>
      <c r="B20" s="5"/>
      <c r="C20" s="5"/>
      <c r="D20" s="5"/>
      <c r="E20" s="5" t="s">
        <v>68</v>
      </c>
      <c r="F20" s="5" t="s">
        <v>69</v>
      </c>
      <c r="G20" s="5" t="s">
        <v>70</v>
      </c>
      <c r="H20" s="8" t="s">
        <v>19</v>
      </c>
      <c r="I20" s="5"/>
      <c r="J20" s="5"/>
      <c r="K20" s="5"/>
      <c r="L20" s="5"/>
      <c r="M20" s="3"/>
      <c r="N20" s="3"/>
      <c r="O20" s="3"/>
      <c r="P20" s="3"/>
      <c r="Q20" s="3"/>
      <c r="R20" s="3"/>
      <c r="S20" s="3"/>
      <c r="T20" s="3"/>
      <c r="U20" s="3"/>
      <c r="V20" s="3"/>
      <c r="W20" s="3"/>
      <c r="X20" s="3"/>
      <c r="Y20" s="3"/>
      <c r="Z20" s="3"/>
    </row>
    <row r="21" spans="1:26" ht="28.9">
      <c r="A21" s="49" t="s">
        <v>12</v>
      </c>
      <c r="B21" s="5"/>
      <c r="C21" s="5"/>
      <c r="D21" s="5"/>
      <c r="E21" s="5" t="s">
        <v>71</v>
      </c>
      <c r="F21" s="5" t="s">
        <v>72</v>
      </c>
      <c r="G21" s="5" t="s">
        <v>73</v>
      </c>
      <c r="H21" s="8" t="s">
        <v>19</v>
      </c>
      <c r="I21" s="5"/>
      <c r="J21" s="5"/>
      <c r="K21" s="5"/>
      <c r="L21" s="5"/>
    </row>
    <row r="22" spans="1:26" ht="28.9">
      <c r="A22" s="49" t="s">
        <v>12</v>
      </c>
      <c r="B22" s="5"/>
      <c r="C22" s="5"/>
      <c r="D22" s="5"/>
      <c r="E22" s="5" t="s">
        <v>74</v>
      </c>
      <c r="F22" s="5" t="s">
        <v>75</v>
      </c>
      <c r="G22" s="5" t="s">
        <v>76</v>
      </c>
      <c r="H22" s="8" t="s">
        <v>19</v>
      </c>
      <c r="I22" s="5"/>
      <c r="J22" s="5"/>
      <c r="K22" s="5"/>
      <c r="L22" s="5"/>
    </row>
    <row r="23" spans="1:26" ht="28.9">
      <c r="A23" s="49" t="s">
        <v>12</v>
      </c>
      <c r="B23" s="5"/>
      <c r="C23" s="5"/>
      <c r="D23" s="5"/>
      <c r="E23" s="5" t="s">
        <v>77</v>
      </c>
      <c r="F23" s="5" t="s">
        <v>78</v>
      </c>
      <c r="G23" s="5" t="s">
        <v>79</v>
      </c>
      <c r="H23" s="8" t="s">
        <v>19</v>
      </c>
      <c r="I23" s="5"/>
      <c r="J23" s="5"/>
      <c r="K23" s="5"/>
      <c r="L23" s="5"/>
    </row>
    <row r="24" spans="1:26" ht="28.9">
      <c r="A24" s="49" t="s">
        <v>12</v>
      </c>
      <c r="B24" s="4" t="s">
        <v>54</v>
      </c>
      <c r="C24" s="4"/>
      <c r="D24" s="4"/>
      <c r="E24" s="4"/>
      <c r="F24" s="4" t="s">
        <v>80</v>
      </c>
      <c r="G24" s="4"/>
      <c r="H24" s="4"/>
      <c r="I24" s="4"/>
      <c r="J24" s="4"/>
      <c r="K24" s="4"/>
      <c r="L24" s="4"/>
    </row>
    <row r="25" spans="1:26" ht="28.9">
      <c r="A25" s="49" t="s">
        <v>12</v>
      </c>
      <c r="B25" s="5"/>
      <c r="C25" s="5"/>
      <c r="D25" s="5"/>
      <c r="E25" s="5" t="s">
        <v>81</v>
      </c>
      <c r="F25" s="5" t="s">
        <v>82</v>
      </c>
      <c r="G25" s="5" t="s">
        <v>83</v>
      </c>
      <c r="H25" s="8" t="s">
        <v>19</v>
      </c>
      <c r="I25" s="5"/>
      <c r="J25" s="5"/>
      <c r="K25" s="5"/>
      <c r="L25" s="5"/>
    </row>
    <row r="26" spans="1:26" ht="28.9">
      <c r="A26" s="49" t="s">
        <v>12</v>
      </c>
      <c r="B26" s="5"/>
      <c r="C26" s="5"/>
      <c r="D26" s="5"/>
      <c r="E26" s="5" t="s">
        <v>84</v>
      </c>
      <c r="F26" s="5" t="s">
        <v>85</v>
      </c>
      <c r="G26" s="5" t="s">
        <v>86</v>
      </c>
      <c r="H26" s="8" t="s">
        <v>19</v>
      </c>
      <c r="I26" s="5"/>
      <c r="J26" s="5"/>
      <c r="K26" s="5"/>
      <c r="L26" s="5"/>
    </row>
    <row r="27" spans="1:26" ht="28.9">
      <c r="A27" s="49" t="s">
        <v>12</v>
      </c>
      <c r="B27" s="5"/>
      <c r="C27" s="5"/>
      <c r="D27" s="5"/>
      <c r="E27" s="5" t="s">
        <v>87</v>
      </c>
      <c r="F27" s="5" t="s">
        <v>88</v>
      </c>
      <c r="G27" s="5" t="s">
        <v>89</v>
      </c>
      <c r="H27" s="8" t="s">
        <v>19</v>
      </c>
      <c r="I27" s="5"/>
      <c r="J27" s="5"/>
      <c r="K27" s="5"/>
      <c r="L27" s="5"/>
    </row>
    <row r="28" spans="1:26" ht="28.9">
      <c r="A28" s="49" t="s">
        <v>12</v>
      </c>
      <c r="B28" s="5"/>
      <c r="C28" s="5"/>
      <c r="D28" s="5"/>
      <c r="E28" s="5" t="s">
        <v>90</v>
      </c>
      <c r="F28" s="5" t="s">
        <v>91</v>
      </c>
      <c r="G28" s="5" t="s">
        <v>92</v>
      </c>
      <c r="H28" s="8" t="s">
        <v>19</v>
      </c>
      <c r="I28" s="5"/>
      <c r="J28" s="5"/>
      <c r="K28" s="5"/>
      <c r="L28" s="5"/>
    </row>
    <row r="29" spans="1:26" s="6" customFormat="1" ht="28.9">
      <c r="A29" s="49" t="s">
        <v>12</v>
      </c>
      <c r="B29" s="5"/>
      <c r="C29" s="5"/>
      <c r="D29" s="5"/>
      <c r="E29" s="5" t="s">
        <v>93</v>
      </c>
      <c r="F29" s="5" t="s">
        <v>94</v>
      </c>
      <c r="G29" s="5" t="s">
        <v>95</v>
      </c>
      <c r="H29" s="8" t="s">
        <v>19</v>
      </c>
      <c r="I29" s="5"/>
      <c r="J29" s="5"/>
      <c r="K29" s="5"/>
      <c r="L29" s="5"/>
      <c r="M29" s="3"/>
      <c r="N29" s="3"/>
    </row>
    <row r="30" spans="1:26" ht="43.15">
      <c r="A30" s="49" t="s">
        <v>12</v>
      </c>
      <c r="B30" s="5"/>
      <c r="C30" s="5"/>
      <c r="D30" s="5"/>
      <c r="E30" s="5" t="s">
        <v>96</v>
      </c>
      <c r="F30" s="5" t="s">
        <v>97</v>
      </c>
      <c r="G30" s="5" t="s">
        <v>98</v>
      </c>
      <c r="H30" s="8" t="s">
        <v>19</v>
      </c>
      <c r="I30" s="5"/>
      <c r="J30" s="5"/>
      <c r="K30" s="5"/>
      <c r="L30" s="5"/>
    </row>
    <row r="31" spans="1:26" ht="43.15">
      <c r="A31" s="49" t="s">
        <v>12</v>
      </c>
      <c r="B31" s="5"/>
      <c r="C31" s="5"/>
      <c r="D31" s="5"/>
      <c r="E31" s="5" t="s">
        <v>99</v>
      </c>
      <c r="F31" s="5" t="s">
        <v>100</v>
      </c>
      <c r="G31" s="5" t="s">
        <v>101</v>
      </c>
      <c r="H31" s="8" t="s">
        <v>19</v>
      </c>
      <c r="I31" s="5"/>
      <c r="J31" s="5"/>
      <c r="K31" s="5"/>
      <c r="L31" s="5"/>
    </row>
    <row r="32" spans="1:26" ht="43.15">
      <c r="A32" s="49" t="s">
        <v>12</v>
      </c>
      <c r="B32" s="5"/>
      <c r="C32" s="5"/>
      <c r="D32" s="5"/>
      <c r="E32" s="5" t="s">
        <v>102</v>
      </c>
      <c r="F32" s="5" t="s">
        <v>103</v>
      </c>
      <c r="G32" s="5" t="s">
        <v>104</v>
      </c>
      <c r="H32" s="8" t="s">
        <v>19</v>
      </c>
      <c r="I32" s="5"/>
      <c r="J32" s="5"/>
      <c r="K32" s="5"/>
      <c r="L32" s="5"/>
    </row>
    <row r="33" spans="1:26" ht="28.9">
      <c r="A33" s="49" t="s">
        <v>12</v>
      </c>
      <c r="B33" s="5"/>
      <c r="C33" s="5"/>
      <c r="D33" s="5"/>
      <c r="E33" s="5" t="s">
        <v>105</v>
      </c>
      <c r="F33" s="5" t="s">
        <v>106</v>
      </c>
      <c r="G33" s="5" t="s">
        <v>107</v>
      </c>
      <c r="H33" s="8" t="s">
        <v>19</v>
      </c>
      <c r="I33" s="5"/>
      <c r="J33" s="5"/>
      <c r="K33" s="5"/>
      <c r="L33" s="5"/>
    </row>
    <row r="34" spans="1:26" ht="28.9">
      <c r="A34" s="49" t="s">
        <v>108</v>
      </c>
      <c r="B34" s="4" t="s">
        <v>109</v>
      </c>
      <c r="C34" s="4"/>
      <c r="D34" s="4"/>
      <c r="E34" s="4"/>
      <c r="F34" s="4"/>
      <c r="G34" s="4"/>
      <c r="H34" s="4"/>
      <c r="I34" s="4"/>
      <c r="J34" s="4"/>
      <c r="K34" s="4"/>
      <c r="L34" s="4"/>
    </row>
    <row r="35" spans="1:26" s="6" customFormat="1" ht="43.15">
      <c r="A35" s="49" t="s">
        <v>108</v>
      </c>
      <c r="B35" s="5"/>
      <c r="C35" s="5"/>
      <c r="D35" s="5"/>
      <c r="E35" s="5" t="s">
        <v>110</v>
      </c>
      <c r="F35" s="5" t="s">
        <v>17</v>
      </c>
      <c r="G35" s="5" t="s">
        <v>18</v>
      </c>
      <c r="H35" s="8" t="s">
        <v>19</v>
      </c>
      <c r="I35" s="5"/>
      <c r="J35" s="5" t="s">
        <v>20</v>
      </c>
      <c r="K35" s="5"/>
      <c r="L35" s="5"/>
      <c r="M35" s="3"/>
      <c r="N35" s="3"/>
      <c r="O35" s="3"/>
      <c r="P35" s="3"/>
      <c r="Q35" s="3"/>
      <c r="R35" s="3"/>
      <c r="S35" s="3"/>
      <c r="T35" s="3"/>
      <c r="U35" s="3"/>
      <c r="V35" s="3"/>
      <c r="W35" s="3"/>
      <c r="X35" s="3"/>
      <c r="Y35" s="3"/>
      <c r="Z35" s="3"/>
    </row>
    <row r="36" spans="1:26" ht="28.9">
      <c r="A36" s="49" t="s">
        <v>108</v>
      </c>
      <c r="B36" s="5"/>
      <c r="C36" s="5"/>
      <c r="D36" s="5"/>
      <c r="E36" s="5" t="s">
        <v>111</v>
      </c>
      <c r="F36" s="5" t="s">
        <v>22</v>
      </c>
      <c r="G36" s="5" t="s">
        <v>23</v>
      </c>
      <c r="H36" s="8" t="s">
        <v>19</v>
      </c>
      <c r="I36" s="5"/>
      <c r="J36" s="5"/>
      <c r="K36" s="5"/>
      <c r="L36" s="5"/>
    </row>
    <row r="37" spans="1:26" ht="28.9">
      <c r="A37" s="49" t="s">
        <v>108</v>
      </c>
      <c r="B37" s="5"/>
      <c r="C37" s="5"/>
      <c r="D37" s="5"/>
      <c r="E37" s="5" t="s">
        <v>112</v>
      </c>
      <c r="F37" s="5" t="s">
        <v>25</v>
      </c>
      <c r="G37" s="5" t="s">
        <v>26</v>
      </c>
      <c r="H37" s="8" t="s">
        <v>19</v>
      </c>
      <c r="I37" s="5"/>
      <c r="J37" s="5"/>
      <c r="K37" s="5"/>
      <c r="L37" s="5"/>
    </row>
    <row r="38" spans="1:26" s="6" customFormat="1" ht="28.9">
      <c r="A38" s="49" t="s">
        <v>108</v>
      </c>
      <c r="B38" s="5"/>
      <c r="C38" s="5"/>
      <c r="D38" s="5"/>
      <c r="E38" s="5" t="s">
        <v>113</v>
      </c>
      <c r="F38" s="5" t="s">
        <v>28</v>
      </c>
      <c r="G38" s="5" t="s">
        <v>29</v>
      </c>
      <c r="H38" s="8" t="s">
        <v>19</v>
      </c>
      <c r="I38" s="5"/>
      <c r="J38" s="5"/>
      <c r="K38" s="5"/>
      <c r="L38" s="5"/>
      <c r="M38" s="3"/>
      <c r="N38" s="3"/>
      <c r="O38" s="3"/>
      <c r="P38" s="3"/>
      <c r="Q38" s="3"/>
      <c r="R38" s="3"/>
      <c r="S38" s="3"/>
      <c r="T38" s="3"/>
      <c r="U38" s="3"/>
      <c r="V38" s="3"/>
      <c r="W38" s="3"/>
      <c r="X38" s="3"/>
      <c r="Y38" s="3"/>
      <c r="Z38" s="3"/>
    </row>
    <row r="39" spans="1:26" ht="28.9">
      <c r="A39" s="49" t="s">
        <v>108</v>
      </c>
      <c r="B39" s="5"/>
      <c r="C39" s="5"/>
      <c r="D39" s="5"/>
      <c r="E39" s="5" t="s">
        <v>114</v>
      </c>
      <c r="F39" s="5" t="s">
        <v>31</v>
      </c>
      <c r="G39" s="5" t="s">
        <v>32</v>
      </c>
      <c r="H39" s="8" t="s">
        <v>19</v>
      </c>
      <c r="I39" s="5"/>
      <c r="J39" s="5"/>
      <c r="K39" s="5"/>
      <c r="L39" s="5"/>
    </row>
    <row r="40" spans="1:26" ht="28.9">
      <c r="A40" s="49" t="s">
        <v>108</v>
      </c>
      <c r="B40" s="5"/>
      <c r="C40" s="5"/>
      <c r="D40" s="5"/>
      <c r="E40" s="5" t="s">
        <v>115</v>
      </c>
      <c r="F40" s="5" t="s">
        <v>34</v>
      </c>
      <c r="G40" s="5" t="s">
        <v>35</v>
      </c>
      <c r="H40" s="8" t="s">
        <v>19</v>
      </c>
      <c r="I40" s="5"/>
      <c r="J40" s="5"/>
      <c r="K40" s="5"/>
      <c r="L40" s="5"/>
      <c r="S40" s="6"/>
      <c r="T40" s="6"/>
      <c r="U40" s="6"/>
      <c r="V40" s="6"/>
      <c r="W40" s="6"/>
      <c r="X40" s="6"/>
      <c r="Y40" s="6"/>
      <c r="Z40" s="6"/>
    </row>
    <row r="41" spans="1:26" ht="28.9">
      <c r="A41" s="49" t="s">
        <v>108</v>
      </c>
      <c r="B41" s="5"/>
      <c r="C41" s="5"/>
      <c r="D41" s="5"/>
      <c r="E41" s="5" t="s">
        <v>116</v>
      </c>
      <c r="F41" s="5" t="s">
        <v>37</v>
      </c>
      <c r="G41" s="5" t="s">
        <v>38</v>
      </c>
      <c r="H41" s="8" t="s">
        <v>19</v>
      </c>
      <c r="I41" s="5"/>
      <c r="J41" s="5"/>
      <c r="K41" s="5"/>
      <c r="L41" s="5"/>
    </row>
    <row r="42" spans="1:26" ht="28.9">
      <c r="A42" s="49" t="s">
        <v>108</v>
      </c>
      <c r="B42" s="5"/>
      <c r="C42" s="5"/>
      <c r="D42" s="5"/>
      <c r="E42" s="5" t="s">
        <v>117</v>
      </c>
      <c r="F42" s="5" t="s">
        <v>40</v>
      </c>
      <c r="G42" s="5" t="s">
        <v>41</v>
      </c>
      <c r="H42" s="8" t="s">
        <v>19</v>
      </c>
      <c r="I42" s="5"/>
      <c r="J42" s="5"/>
      <c r="K42" s="5"/>
      <c r="L42" s="5"/>
    </row>
    <row r="43" spans="1:26" ht="28.9">
      <c r="A43" s="49" t="s">
        <v>108</v>
      </c>
      <c r="B43" s="5"/>
      <c r="C43" s="5"/>
      <c r="D43" s="5"/>
      <c r="E43" s="5" t="s">
        <v>118</v>
      </c>
      <c r="F43" s="5" t="s">
        <v>43</v>
      </c>
      <c r="G43" s="5" t="s">
        <v>44</v>
      </c>
      <c r="H43" s="8" t="s">
        <v>19</v>
      </c>
      <c r="I43" s="5"/>
      <c r="J43" s="5"/>
      <c r="K43" s="5"/>
      <c r="L43" s="5"/>
    </row>
    <row r="44" spans="1:26" ht="28.9">
      <c r="A44" s="49" t="s">
        <v>108</v>
      </c>
      <c r="B44" s="5"/>
      <c r="C44" s="5"/>
      <c r="D44" s="5"/>
      <c r="E44" s="5" t="s">
        <v>119</v>
      </c>
      <c r="F44" s="5" t="s">
        <v>46</v>
      </c>
      <c r="G44" s="5" t="s">
        <v>47</v>
      </c>
      <c r="H44" s="8" t="s">
        <v>19</v>
      </c>
      <c r="I44" s="5"/>
      <c r="J44" s="5"/>
      <c r="K44" s="5"/>
      <c r="L44" s="5"/>
    </row>
    <row r="45" spans="1:26" ht="28.9">
      <c r="A45" s="49" t="s">
        <v>108</v>
      </c>
      <c r="B45" s="5"/>
      <c r="C45" s="5"/>
      <c r="D45" s="5"/>
      <c r="E45" s="5" t="s">
        <v>120</v>
      </c>
      <c r="F45" s="5" t="s">
        <v>49</v>
      </c>
      <c r="G45" s="5" t="s">
        <v>50</v>
      </c>
      <c r="H45" s="8" t="s">
        <v>19</v>
      </c>
      <c r="I45" s="5"/>
      <c r="J45" s="5"/>
      <c r="K45" s="5"/>
      <c r="L45" s="5"/>
    </row>
    <row r="46" spans="1:26" ht="28.9">
      <c r="A46" s="49" t="s">
        <v>108</v>
      </c>
      <c r="B46" s="5"/>
      <c r="C46" s="5"/>
      <c r="D46" s="5"/>
      <c r="E46" s="5" t="s">
        <v>121</v>
      </c>
      <c r="F46" s="5" t="s">
        <v>52</v>
      </c>
      <c r="G46" s="5" t="s">
        <v>53</v>
      </c>
      <c r="H46" s="8" t="s">
        <v>19</v>
      </c>
      <c r="I46" s="5"/>
      <c r="J46" s="5"/>
      <c r="K46" s="5"/>
      <c r="L46" s="5"/>
    </row>
    <row r="47" spans="1:26" ht="28.9">
      <c r="A47" s="49" t="s">
        <v>108</v>
      </c>
      <c r="B47" s="4" t="s">
        <v>122</v>
      </c>
      <c r="C47" s="4"/>
      <c r="D47" s="4"/>
      <c r="E47" s="4"/>
      <c r="F47" s="4" t="s">
        <v>123</v>
      </c>
      <c r="G47" s="4"/>
      <c r="H47" s="4"/>
      <c r="I47" s="4"/>
      <c r="J47" s="4"/>
      <c r="K47" s="4"/>
      <c r="L47" s="4"/>
    </row>
    <row r="48" spans="1:26" ht="28.9">
      <c r="A48" s="49" t="s">
        <v>108</v>
      </c>
      <c r="B48" s="5"/>
      <c r="C48" s="5"/>
      <c r="D48" s="5"/>
      <c r="E48" s="5" t="s">
        <v>124</v>
      </c>
      <c r="F48" s="5" t="s">
        <v>125</v>
      </c>
      <c r="G48" s="5" t="s">
        <v>126</v>
      </c>
      <c r="H48" s="8" t="s">
        <v>19</v>
      </c>
      <c r="I48" s="5"/>
      <c r="J48" s="5"/>
      <c r="K48" s="5"/>
      <c r="L48" s="5"/>
    </row>
    <row r="49" spans="1:26" ht="28.9">
      <c r="A49" s="49" t="s">
        <v>108</v>
      </c>
      <c r="B49" s="5"/>
      <c r="C49" s="5"/>
      <c r="D49" s="5"/>
      <c r="E49" s="5" t="s">
        <v>127</v>
      </c>
      <c r="F49" s="5" t="s">
        <v>128</v>
      </c>
      <c r="G49" s="5" t="s">
        <v>129</v>
      </c>
      <c r="H49" s="8" t="s">
        <v>19</v>
      </c>
      <c r="I49" s="5"/>
      <c r="J49" s="5"/>
      <c r="K49" s="5"/>
      <c r="L49" s="5"/>
    </row>
    <row r="50" spans="1:26" ht="28.9">
      <c r="A50" s="49" t="s">
        <v>108</v>
      </c>
      <c r="B50" s="5"/>
      <c r="C50" s="5"/>
      <c r="D50" s="5"/>
      <c r="E50" s="5" t="s">
        <v>130</v>
      </c>
      <c r="F50" s="5" t="s">
        <v>131</v>
      </c>
      <c r="G50" s="5" t="s">
        <v>132</v>
      </c>
      <c r="H50" s="8" t="s">
        <v>19</v>
      </c>
      <c r="I50" s="5"/>
      <c r="J50" s="5"/>
      <c r="K50" s="5"/>
      <c r="L50" s="5"/>
    </row>
    <row r="51" spans="1:26" ht="28.9">
      <c r="A51" s="49" t="s">
        <v>108</v>
      </c>
      <c r="B51" s="5"/>
      <c r="C51" s="5"/>
      <c r="D51" s="5"/>
      <c r="E51" s="5" t="s">
        <v>133</v>
      </c>
      <c r="F51" s="5" t="s">
        <v>49</v>
      </c>
      <c r="G51" s="5" t="s">
        <v>50</v>
      </c>
      <c r="H51" s="8" t="s">
        <v>19</v>
      </c>
      <c r="I51" s="5"/>
      <c r="J51" s="5"/>
      <c r="K51" s="5"/>
      <c r="L51" s="5"/>
    </row>
    <row r="52" spans="1:26" ht="28.9">
      <c r="A52" s="49" t="s">
        <v>108</v>
      </c>
      <c r="B52" s="4" t="s">
        <v>54</v>
      </c>
      <c r="C52" s="4"/>
      <c r="D52" s="4"/>
      <c r="E52" s="4"/>
      <c r="F52" s="4" t="s">
        <v>55</v>
      </c>
      <c r="G52" s="4"/>
      <c r="H52" s="4"/>
      <c r="I52" s="4"/>
      <c r="J52" s="4"/>
      <c r="K52" s="4"/>
      <c r="L52" s="4"/>
      <c r="Q52" s="6"/>
      <c r="R52" s="6"/>
      <c r="S52" s="6"/>
      <c r="T52" s="6"/>
      <c r="U52" s="6"/>
      <c r="V52" s="6"/>
      <c r="W52" s="6"/>
      <c r="X52" s="6"/>
      <c r="Y52" s="6"/>
      <c r="Z52" s="6"/>
    </row>
    <row r="53" spans="1:26" ht="28.9">
      <c r="A53" s="49" t="s">
        <v>108</v>
      </c>
      <c r="B53" s="5"/>
      <c r="C53" s="5"/>
      <c r="D53" s="5"/>
      <c r="E53" s="5" t="s">
        <v>134</v>
      </c>
      <c r="F53" s="5" t="s">
        <v>57</v>
      </c>
      <c r="G53" s="5" t="s">
        <v>58</v>
      </c>
      <c r="H53" s="8" t="s">
        <v>19</v>
      </c>
      <c r="I53" s="5"/>
      <c r="J53" s="5"/>
      <c r="K53" s="5"/>
      <c r="L53" s="5"/>
    </row>
    <row r="54" spans="1:26" ht="28.9">
      <c r="A54" s="49" t="s">
        <v>108</v>
      </c>
      <c r="B54" s="5"/>
      <c r="C54" s="5"/>
      <c r="D54" s="5"/>
      <c r="E54" s="5" t="s">
        <v>135</v>
      </c>
      <c r="F54" s="5" t="s">
        <v>60</v>
      </c>
      <c r="G54" s="5" t="s">
        <v>61</v>
      </c>
      <c r="H54" s="8" t="s">
        <v>19</v>
      </c>
      <c r="I54" s="5"/>
      <c r="J54" s="5"/>
      <c r="K54" s="5"/>
      <c r="L54" s="5"/>
    </row>
    <row r="55" spans="1:26" ht="28.9">
      <c r="A55" s="49" t="s">
        <v>108</v>
      </c>
      <c r="B55" s="5"/>
      <c r="C55" s="5"/>
      <c r="D55" s="5"/>
      <c r="E55" s="5" t="s">
        <v>136</v>
      </c>
      <c r="F55" s="5" t="s">
        <v>63</v>
      </c>
      <c r="G55" s="5" t="s">
        <v>64</v>
      </c>
      <c r="H55" s="8" t="s">
        <v>19</v>
      </c>
      <c r="I55" s="5"/>
      <c r="J55" s="5"/>
      <c r="K55" s="5"/>
      <c r="L55" s="5"/>
    </row>
    <row r="56" spans="1:26" ht="28.9">
      <c r="A56" s="49" t="s">
        <v>108</v>
      </c>
      <c r="B56" s="5"/>
      <c r="C56" s="5"/>
      <c r="D56" s="5"/>
      <c r="E56" s="5" t="s">
        <v>137</v>
      </c>
      <c r="F56" s="5" t="s">
        <v>66</v>
      </c>
      <c r="G56" s="5" t="s">
        <v>67</v>
      </c>
      <c r="H56" s="8" t="s">
        <v>19</v>
      </c>
      <c r="I56" s="5"/>
      <c r="J56" s="5"/>
      <c r="K56" s="5"/>
      <c r="L56" s="5"/>
    </row>
    <row r="57" spans="1:26" ht="28.9">
      <c r="A57" s="49" t="s">
        <v>108</v>
      </c>
      <c r="B57" s="5"/>
      <c r="C57" s="5"/>
      <c r="D57" s="5"/>
      <c r="E57" s="5" t="s">
        <v>138</v>
      </c>
      <c r="F57" s="5" t="s">
        <v>69</v>
      </c>
      <c r="G57" s="5" t="s">
        <v>70</v>
      </c>
      <c r="H57" s="8" t="s">
        <v>19</v>
      </c>
      <c r="I57" s="5"/>
      <c r="J57" s="5"/>
      <c r="K57" s="5"/>
      <c r="L57" s="5"/>
    </row>
    <row r="58" spans="1:26" ht="28.9">
      <c r="A58" s="49" t="s">
        <v>108</v>
      </c>
      <c r="B58" s="5"/>
      <c r="C58" s="5"/>
      <c r="D58" s="5"/>
      <c r="E58" s="5" t="s">
        <v>139</v>
      </c>
      <c r="F58" s="5" t="s">
        <v>72</v>
      </c>
      <c r="G58" s="5" t="s">
        <v>73</v>
      </c>
      <c r="H58" s="8" t="s">
        <v>19</v>
      </c>
      <c r="I58" s="5"/>
      <c r="J58" s="5"/>
      <c r="K58" s="5"/>
      <c r="L58" s="5"/>
    </row>
    <row r="59" spans="1:26" ht="28.9">
      <c r="A59" s="49" t="s">
        <v>108</v>
      </c>
      <c r="B59" s="5"/>
      <c r="C59" s="5"/>
      <c r="D59" s="5"/>
      <c r="E59" s="5" t="s">
        <v>140</v>
      </c>
      <c r="F59" s="5" t="s">
        <v>75</v>
      </c>
      <c r="G59" s="5" t="s">
        <v>76</v>
      </c>
      <c r="H59" s="8" t="s">
        <v>19</v>
      </c>
      <c r="I59" s="5"/>
      <c r="J59" s="5"/>
      <c r="K59" s="5"/>
      <c r="L59" s="5"/>
    </row>
    <row r="60" spans="1:26" ht="28.9">
      <c r="A60" s="49" t="s">
        <v>108</v>
      </c>
      <c r="B60" s="5"/>
      <c r="C60" s="5"/>
      <c r="D60" s="5"/>
      <c r="E60" s="5" t="s">
        <v>141</v>
      </c>
      <c r="F60" s="5" t="s">
        <v>78</v>
      </c>
      <c r="G60" s="5" t="s">
        <v>79</v>
      </c>
      <c r="H60" s="8" t="s">
        <v>19</v>
      </c>
      <c r="I60" s="5"/>
      <c r="J60" s="5"/>
      <c r="K60" s="5"/>
      <c r="L60" s="5"/>
    </row>
    <row r="61" spans="1:26" ht="28.9">
      <c r="A61" s="49" t="s">
        <v>108</v>
      </c>
      <c r="B61" s="4" t="s">
        <v>54</v>
      </c>
      <c r="C61" s="4"/>
      <c r="D61" s="4"/>
      <c r="E61" s="4"/>
      <c r="F61" s="4" t="s">
        <v>80</v>
      </c>
      <c r="G61" s="4"/>
      <c r="H61" s="4"/>
      <c r="I61" s="4"/>
      <c r="J61" s="4"/>
      <c r="K61" s="4"/>
      <c r="L61" s="4"/>
      <c r="Q61" s="6"/>
      <c r="R61" s="6"/>
    </row>
    <row r="62" spans="1:26" ht="28.9">
      <c r="A62" s="49" t="s">
        <v>108</v>
      </c>
      <c r="B62" s="5"/>
      <c r="C62" s="5"/>
      <c r="D62" s="5"/>
      <c r="E62" s="5" t="s">
        <v>142</v>
      </c>
      <c r="F62" s="5" t="s">
        <v>82</v>
      </c>
      <c r="G62" s="5" t="s">
        <v>83</v>
      </c>
      <c r="H62" s="8" t="s">
        <v>19</v>
      </c>
      <c r="I62" s="5"/>
      <c r="J62" s="5"/>
      <c r="K62" s="5"/>
      <c r="L62" s="5"/>
      <c r="S62" s="6"/>
      <c r="T62" s="6"/>
      <c r="U62" s="6"/>
      <c r="V62" s="6"/>
      <c r="W62" s="6"/>
      <c r="X62" s="6"/>
      <c r="Y62" s="6"/>
      <c r="Z62" s="6"/>
    </row>
    <row r="63" spans="1:26" ht="28.9">
      <c r="A63" s="49" t="s">
        <v>108</v>
      </c>
      <c r="B63" s="5"/>
      <c r="C63" s="5"/>
      <c r="D63" s="5"/>
      <c r="E63" s="5" t="s">
        <v>143</v>
      </c>
      <c r="F63" s="5" t="s">
        <v>85</v>
      </c>
      <c r="G63" s="5" t="s">
        <v>86</v>
      </c>
      <c r="H63" s="8" t="s">
        <v>19</v>
      </c>
      <c r="I63" s="5"/>
      <c r="J63" s="5"/>
      <c r="K63" s="5"/>
      <c r="L63" s="5"/>
    </row>
    <row r="64" spans="1:26" ht="28.9">
      <c r="A64" s="49" t="s">
        <v>108</v>
      </c>
      <c r="B64" s="5"/>
      <c r="C64" s="5"/>
      <c r="D64" s="5"/>
      <c r="E64" s="5" t="s">
        <v>144</v>
      </c>
      <c r="F64" s="5" t="s">
        <v>88</v>
      </c>
      <c r="G64" s="5" t="s">
        <v>89</v>
      </c>
      <c r="H64" s="8" t="s">
        <v>19</v>
      </c>
      <c r="I64" s="5"/>
      <c r="J64" s="5"/>
      <c r="K64" s="5"/>
      <c r="L64" s="5"/>
    </row>
    <row r="65" spans="1:26" ht="28.9">
      <c r="A65" s="49" t="s">
        <v>108</v>
      </c>
      <c r="B65" s="5"/>
      <c r="C65" s="5"/>
      <c r="D65" s="5"/>
      <c r="E65" s="5" t="s">
        <v>145</v>
      </c>
      <c r="F65" s="5" t="s">
        <v>91</v>
      </c>
      <c r="G65" s="5" t="s">
        <v>92</v>
      </c>
      <c r="H65" s="8" t="s">
        <v>19</v>
      </c>
      <c r="I65" s="5"/>
      <c r="J65" s="5"/>
      <c r="K65" s="5"/>
      <c r="L65" s="5"/>
    </row>
    <row r="66" spans="1:26" ht="28.9">
      <c r="A66" s="49" t="s">
        <v>108</v>
      </c>
      <c r="B66" s="5"/>
      <c r="C66" s="5"/>
      <c r="D66" s="5"/>
      <c r="E66" s="5" t="s">
        <v>146</v>
      </c>
      <c r="F66" s="5" t="s">
        <v>94</v>
      </c>
      <c r="G66" s="5" t="s">
        <v>95</v>
      </c>
      <c r="H66" s="8" t="s">
        <v>19</v>
      </c>
      <c r="I66" s="5"/>
      <c r="J66" s="5"/>
      <c r="K66" s="5"/>
      <c r="L66" s="5"/>
    </row>
    <row r="67" spans="1:26" ht="43.15">
      <c r="A67" s="49" t="s">
        <v>108</v>
      </c>
      <c r="B67" s="5"/>
      <c r="C67" s="5"/>
      <c r="D67" s="5"/>
      <c r="E67" s="5" t="s">
        <v>147</v>
      </c>
      <c r="F67" s="5" t="s">
        <v>97</v>
      </c>
      <c r="G67" s="5" t="s">
        <v>98</v>
      </c>
      <c r="H67" s="8" t="s">
        <v>19</v>
      </c>
      <c r="I67" s="5"/>
      <c r="J67" s="5"/>
      <c r="K67" s="5"/>
      <c r="L67" s="5"/>
      <c r="S67" s="6"/>
      <c r="T67" s="6"/>
      <c r="U67" s="6"/>
      <c r="V67" s="6"/>
      <c r="W67" s="6"/>
      <c r="X67" s="6"/>
      <c r="Y67" s="6"/>
      <c r="Z67" s="6"/>
    </row>
    <row r="68" spans="1:26" ht="43.15">
      <c r="A68" s="49" t="s">
        <v>108</v>
      </c>
      <c r="B68" s="5"/>
      <c r="C68" s="5"/>
      <c r="D68" s="5"/>
      <c r="E68" s="5" t="s">
        <v>148</v>
      </c>
      <c r="F68" s="5" t="s">
        <v>100</v>
      </c>
      <c r="G68" s="5" t="s">
        <v>101</v>
      </c>
      <c r="H68" s="8" t="s">
        <v>19</v>
      </c>
      <c r="I68" s="5"/>
      <c r="J68" s="5"/>
      <c r="K68" s="5"/>
      <c r="L68" s="5"/>
    </row>
    <row r="69" spans="1:26" ht="43.15">
      <c r="A69" s="49" t="s">
        <v>108</v>
      </c>
      <c r="B69" s="5"/>
      <c r="C69" s="5"/>
      <c r="D69" s="5"/>
      <c r="E69" s="5" t="s">
        <v>149</v>
      </c>
      <c r="F69" s="5" t="s">
        <v>103</v>
      </c>
      <c r="G69" s="5" t="s">
        <v>104</v>
      </c>
      <c r="H69" s="8" t="s">
        <v>19</v>
      </c>
      <c r="I69" s="5"/>
      <c r="J69" s="5"/>
      <c r="K69" s="5"/>
      <c r="L69" s="5"/>
    </row>
    <row r="70" spans="1:26" ht="28.9">
      <c r="A70" s="49" t="s">
        <v>108</v>
      </c>
      <c r="B70" s="5"/>
      <c r="C70" s="5"/>
      <c r="D70" s="5"/>
      <c r="E70" s="5" t="s">
        <v>150</v>
      </c>
      <c r="F70" s="5" t="s">
        <v>106</v>
      </c>
      <c r="G70" s="5" t="s">
        <v>107</v>
      </c>
      <c r="H70" s="8" t="s">
        <v>19</v>
      </c>
      <c r="I70" s="5"/>
      <c r="J70" s="5"/>
      <c r="K70" s="5"/>
      <c r="L70" s="5"/>
    </row>
    <row r="71" spans="1:26" ht="28.9">
      <c r="A71" s="49" t="s">
        <v>108</v>
      </c>
      <c r="B71" s="5"/>
      <c r="C71" s="5"/>
      <c r="D71" s="5"/>
      <c r="E71" s="5" t="s">
        <v>151</v>
      </c>
      <c r="F71" s="5" t="s">
        <v>152</v>
      </c>
      <c r="G71" s="5" t="s">
        <v>153</v>
      </c>
      <c r="H71" s="8"/>
      <c r="I71" s="5"/>
      <c r="J71" s="5"/>
      <c r="K71" s="5"/>
      <c r="L71" s="5"/>
    </row>
    <row r="72" spans="1:26" ht="100.9">
      <c r="A72" s="49" t="s">
        <v>154</v>
      </c>
      <c r="B72" s="4" t="s">
        <v>155</v>
      </c>
      <c r="C72" s="4"/>
      <c r="D72" s="4"/>
      <c r="E72" s="4"/>
      <c r="F72" s="4" t="s">
        <v>156</v>
      </c>
      <c r="G72" s="4" t="s">
        <v>157</v>
      </c>
      <c r="H72" s="4"/>
      <c r="I72" s="4"/>
      <c r="J72" s="4"/>
      <c r="K72" s="4"/>
      <c r="L72" s="4"/>
      <c r="Q72" s="6"/>
      <c r="R72" s="6"/>
    </row>
    <row r="73" spans="1:26" ht="28.9">
      <c r="A73" s="49" t="s">
        <v>154</v>
      </c>
      <c r="B73" s="5"/>
      <c r="C73" s="5"/>
      <c r="D73" s="5"/>
      <c r="E73" s="5" t="s">
        <v>158</v>
      </c>
      <c r="F73" s="5" t="s">
        <v>159</v>
      </c>
      <c r="G73" s="5" t="s">
        <v>160</v>
      </c>
      <c r="H73" s="8" t="s">
        <v>19</v>
      </c>
      <c r="I73" s="5"/>
      <c r="J73" s="5"/>
      <c r="K73" s="5"/>
      <c r="L73" s="5"/>
    </row>
    <row r="74" spans="1:26" ht="28.9">
      <c r="A74" s="49" t="s">
        <v>154</v>
      </c>
      <c r="B74" s="5"/>
      <c r="C74" s="5"/>
      <c r="D74" s="5"/>
      <c r="E74" s="5" t="s">
        <v>161</v>
      </c>
      <c r="F74" s="5" t="s">
        <v>162</v>
      </c>
      <c r="G74" s="5" t="s">
        <v>163</v>
      </c>
      <c r="H74" s="8" t="s">
        <v>19</v>
      </c>
      <c r="I74" s="5"/>
      <c r="J74" s="5"/>
      <c r="K74" s="5"/>
      <c r="L74" s="5"/>
    </row>
    <row r="75" spans="1:26" ht="28.9">
      <c r="A75" s="49" t="s">
        <v>154</v>
      </c>
      <c r="B75" s="5"/>
      <c r="C75" s="5"/>
      <c r="D75" s="5"/>
      <c r="E75" s="5" t="s">
        <v>164</v>
      </c>
      <c r="F75" s="5" t="s">
        <v>165</v>
      </c>
      <c r="G75" s="5" t="s">
        <v>166</v>
      </c>
      <c r="H75" s="8" t="s">
        <v>19</v>
      </c>
      <c r="I75" s="5"/>
      <c r="J75" s="5"/>
      <c r="K75" s="5"/>
      <c r="L75" s="5"/>
    </row>
    <row r="76" spans="1:26" ht="28.9">
      <c r="A76" s="49" t="s">
        <v>154</v>
      </c>
      <c r="B76" s="5"/>
      <c r="C76" s="5"/>
      <c r="D76" s="5"/>
      <c r="E76" s="5" t="s">
        <v>167</v>
      </c>
      <c r="F76" s="5" t="s">
        <v>168</v>
      </c>
      <c r="G76" s="5" t="s">
        <v>169</v>
      </c>
      <c r="H76" s="8" t="s">
        <v>19</v>
      </c>
      <c r="I76" s="5"/>
      <c r="J76" s="5"/>
      <c r="K76" s="5"/>
      <c r="L76" s="5"/>
    </row>
    <row r="77" spans="1:26" ht="28.9">
      <c r="A77" s="49" t="s">
        <v>154</v>
      </c>
      <c r="B77" s="4" t="s">
        <v>54</v>
      </c>
      <c r="C77" s="4"/>
      <c r="D77" s="4"/>
      <c r="E77" s="4"/>
      <c r="F77" s="4" t="s">
        <v>55</v>
      </c>
      <c r="G77" s="4"/>
      <c r="H77" s="4"/>
      <c r="I77" s="4"/>
      <c r="J77" s="4"/>
      <c r="K77" s="4"/>
      <c r="L77" s="4"/>
      <c r="Q77" s="6"/>
      <c r="R77" s="6"/>
    </row>
    <row r="78" spans="1:26" ht="28.9">
      <c r="A78" s="49" t="s">
        <v>154</v>
      </c>
      <c r="B78" s="5"/>
      <c r="C78" s="5"/>
      <c r="D78" s="5"/>
      <c r="E78" s="5" t="s">
        <v>170</v>
      </c>
      <c r="F78" s="5" t="s">
        <v>171</v>
      </c>
      <c r="G78" s="5" t="s">
        <v>172</v>
      </c>
      <c r="H78" s="8" t="s">
        <v>19</v>
      </c>
      <c r="I78" s="5"/>
      <c r="J78" s="5"/>
      <c r="K78" s="5"/>
      <c r="L78" s="5"/>
      <c r="S78" s="6"/>
      <c r="T78" s="6"/>
      <c r="U78" s="6"/>
      <c r="V78" s="6"/>
      <c r="W78" s="6"/>
      <c r="X78" s="6"/>
      <c r="Y78" s="6"/>
      <c r="Z78" s="6"/>
    </row>
    <row r="79" spans="1:26" ht="28.9">
      <c r="A79" s="49" t="s">
        <v>154</v>
      </c>
      <c r="B79" s="5"/>
      <c r="C79" s="5"/>
      <c r="D79" s="5"/>
      <c r="E79" s="5" t="s">
        <v>173</v>
      </c>
      <c r="F79" s="5" t="s">
        <v>60</v>
      </c>
      <c r="G79" s="5" t="s">
        <v>174</v>
      </c>
      <c r="H79" s="8" t="s">
        <v>19</v>
      </c>
      <c r="I79" s="5"/>
      <c r="J79" s="5"/>
      <c r="K79" s="5"/>
      <c r="L79" s="5"/>
    </row>
    <row r="80" spans="1:26" ht="28.9">
      <c r="A80" s="49" t="s">
        <v>154</v>
      </c>
      <c r="B80" s="5"/>
      <c r="C80" s="5"/>
      <c r="D80" s="5"/>
      <c r="E80" s="5" t="s">
        <v>175</v>
      </c>
      <c r="F80" s="5" t="s">
        <v>63</v>
      </c>
      <c r="G80" s="5" t="s">
        <v>176</v>
      </c>
      <c r="H80" s="8" t="s">
        <v>19</v>
      </c>
      <c r="I80" s="5"/>
      <c r="J80" s="5"/>
      <c r="K80" s="5"/>
      <c r="L80" s="5"/>
    </row>
    <row r="81" spans="1:26" ht="28.9">
      <c r="A81" s="49" t="s">
        <v>154</v>
      </c>
      <c r="B81" s="5"/>
      <c r="C81" s="5"/>
      <c r="D81" s="5"/>
      <c r="E81" s="5" t="s">
        <v>177</v>
      </c>
      <c r="F81" s="5" t="s">
        <v>66</v>
      </c>
      <c r="G81" s="5" t="s">
        <v>178</v>
      </c>
      <c r="H81" s="8" t="s">
        <v>19</v>
      </c>
      <c r="I81" s="5"/>
      <c r="J81" s="5"/>
      <c r="K81" s="5"/>
      <c r="L81" s="5"/>
      <c r="S81" s="6"/>
      <c r="T81" s="6"/>
      <c r="U81" s="6"/>
      <c r="V81" s="6"/>
      <c r="W81" s="6"/>
      <c r="X81" s="6"/>
      <c r="Y81" s="6"/>
      <c r="Z81" s="6"/>
    </row>
    <row r="82" spans="1:26" ht="28.9">
      <c r="A82" s="49" t="s">
        <v>154</v>
      </c>
      <c r="B82" s="5"/>
      <c r="C82" s="5"/>
      <c r="D82" s="5"/>
      <c r="E82" s="5" t="s">
        <v>179</v>
      </c>
      <c r="F82" s="5" t="s">
        <v>69</v>
      </c>
      <c r="G82" s="5" t="s">
        <v>70</v>
      </c>
      <c r="H82" s="8" t="s">
        <v>19</v>
      </c>
      <c r="I82" s="5"/>
      <c r="J82" s="5"/>
      <c r="K82" s="5"/>
      <c r="L82" s="5"/>
    </row>
    <row r="83" spans="1:26" ht="28.9">
      <c r="A83" s="49" t="s">
        <v>154</v>
      </c>
      <c r="B83" s="5"/>
      <c r="C83" s="5"/>
      <c r="D83" s="5"/>
      <c r="E83" s="5" t="s">
        <v>180</v>
      </c>
      <c r="F83" s="5" t="s">
        <v>72</v>
      </c>
      <c r="G83" s="5" t="s">
        <v>73</v>
      </c>
      <c r="H83" s="8" t="s">
        <v>19</v>
      </c>
      <c r="I83" s="5"/>
      <c r="J83" s="5"/>
      <c r="K83" s="5"/>
      <c r="L83" s="5"/>
    </row>
    <row r="84" spans="1:26" ht="28.9">
      <c r="A84" s="49" t="s">
        <v>154</v>
      </c>
      <c r="B84" s="5"/>
      <c r="C84" s="5"/>
      <c r="D84" s="5"/>
      <c r="E84" s="5" t="s">
        <v>181</v>
      </c>
      <c r="F84" s="5" t="s">
        <v>75</v>
      </c>
      <c r="G84" s="5" t="s">
        <v>76</v>
      </c>
      <c r="H84" s="8" t="s">
        <v>19</v>
      </c>
      <c r="I84" s="5"/>
      <c r="J84" s="5"/>
      <c r="K84" s="5"/>
      <c r="L84" s="5"/>
    </row>
    <row r="85" spans="1:26" ht="28.9">
      <c r="A85" s="49" t="s">
        <v>154</v>
      </c>
      <c r="B85" s="5"/>
      <c r="C85" s="5"/>
      <c r="D85" s="5"/>
      <c r="E85" s="5" t="s">
        <v>182</v>
      </c>
      <c r="F85" s="5" t="s">
        <v>78</v>
      </c>
      <c r="G85" s="5" t="s">
        <v>183</v>
      </c>
      <c r="H85" s="8" t="s">
        <v>19</v>
      </c>
      <c r="I85" s="5"/>
      <c r="J85" s="5"/>
      <c r="K85" s="5"/>
      <c r="L85" s="5"/>
    </row>
    <row r="86" spans="1:26" ht="28.9">
      <c r="A86" s="49" t="s">
        <v>154</v>
      </c>
      <c r="B86" s="4" t="s">
        <v>184</v>
      </c>
      <c r="C86" s="4"/>
      <c r="D86" s="4"/>
      <c r="E86" s="4"/>
      <c r="F86" s="4" t="s">
        <v>185</v>
      </c>
      <c r="G86" s="4"/>
      <c r="H86" s="4"/>
      <c r="I86" s="4"/>
      <c r="J86" s="4"/>
      <c r="K86" s="4"/>
      <c r="L86" s="4"/>
      <c r="Q86" s="6"/>
      <c r="R86" s="6"/>
    </row>
    <row r="87" spans="1:26" ht="100.9">
      <c r="A87" s="49" t="s">
        <v>154</v>
      </c>
      <c r="B87" s="5"/>
      <c r="C87" s="5"/>
      <c r="D87" s="5"/>
      <c r="E87" s="5" t="s">
        <v>186</v>
      </c>
      <c r="F87" s="5" t="s">
        <v>187</v>
      </c>
      <c r="G87" s="5" t="s">
        <v>187</v>
      </c>
      <c r="H87" s="8" t="s">
        <v>19</v>
      </c>
      <c r="I87" s="5"/>
      <c r="J87" s="5"/>
      <c r="K87" s="5"/>
      <c r="L87" s="5"/>
    </row>
    <row r="88" spans="1:26" ht="28.9">
      <c r="A88" s="49" t="s">
        <v>154</v>
      </c>
      <c r="B88" s="5"/>
      <c r="C88" s="5"/>
      <c r="D88" s="5"/>
      <c r="E88" s="5" t="s">
        <v>188</v>
      </c>
      <c r="F88" s="5" t="s">
        <v>189</v>
      </c>
      <c r="G88" s="5" t="s">
        <v>190</v>
      </c>
      <c r="H88" s="8" t="s">
        <v>19</v>
      </c>
      <c r="I88" s="5"/>
      <c r="J88" s="5"/>
      <c r="K88" s="5"/>
      <c r="L88" s="5"/>
    </row>
    <row r="89" spans="1:26" ht="28.9">
      <c r="A89" s="49" t="s">
        <v>154</v>
      </c>
      <c r="B89" s="4" t="s">
        <v>54</v>
      </c>
      <c r="C89" s="4"/>
      <c r="D89" s="4"/>
      <c r="E89" s="4"/>
      <c r="F89" s="4" t="s">
        <v>80</v>
      </c>
      <c r="G89" s="4"/>
      <c r="H89" s="4"/>
      <c r="I89" s="4"/>
      <c r="J89" s="4"/>
      <c r="K89" s="4"/>
      <c r="L89" s="4"/>
      <c r="Q89" s="6"/>
      <c r="R89" s="6"/>
    </row>
    <row r="90" spans="1:26" ht="28.9">
      <c r="A90" s="49" t="s">
        <v>154</v>
      </c>
      <c r="B90" s="5"/>
      <c r="C90" s="5"/>
      <c r="D90" s="5"/>
      <c r="E90" s="5" t="s">
        <v>191</v>
      </c>
      <c r="F90" s="5" t="s">
        <v>82</v>
      </c>
      <c r="G90" s="5" t="s">
        <v>192</v>
      </c>
      <c r="H90" s="8" t="s">
        <v>19</v>
      </c>
      <c r="I90" s="5"/>
      <c r="J90" s="5"/>
      <c r="K90" s="5"/>
      <c r="L90" s="5"/>
    </row>
    <row r="91" spans="1:26" ht="28.9">
      <c r="A91" s="49" t="s">
        <v>154</v>
      </c>
      <c r="B91" s="5"/>
      <c r="C91" s="5"/>
      <c r="D91" s="5"/>
      <c r="E91" s="5" t="s">
        <v>193</v>
      </c>
      <c r="F91" s="5" t="s">
        <v>85</v>
      </c>
      <c r="G91" s="5" t="s">
        <v>194</v>
      </c>
      <c r="H91" s="8" t="s">
        <v>19</v>
      </c>
      <c r="I91" s="5"/>
      <c r="J91" s="5"/>
      <c r="K91" s="5"/>
      <c r="L91" s="5"/>
    </row>
    <row r="92" spans="1:26" ht="28.9">
      <c r="A92" s="49" t="s">
        <v>154</v>
      </c>
      <c r="B92" s="5"/>
      <c r="C92" s="5"/>
      <c r="D92" s="5"/>
      <c r="E92" s="5" t="s">
        <v>195</v>
      </c>
      <c r="F92" s="5" t="s">
        <v>88</v>
      </c>
      <c r="G92" s="5" t="s">
        <v>196</v>
      </c>
      <c r="H92" s="8" t="s">
        <v>19</v>
      </c>
      <c r="I92" s="5"/>
      <c r="J92" s="5"/>
      <c r="K92" s="5"/>
      <c r="L92" s="5"/>
    </row>
    <row r="93" spans="1:26" ht="28.9">
      <c r="A93" s="49" t="s">
        <v>154</v>
      </c>
      <c r="B93" s="5"/>
      <c r="C93" s="5"/>
      <c r="D93" s="5"/>
      <c r="E93" s="5" t="s">
        <v>197</v>
      </c>
      <c r="F93" s="5" t="s">
        <v>91</v>
      </c>
      <c r="G93" s="5" t="s">
        <v>91</v>
      </c>
      <c r="H93" s="8" t="s">
        <v>19</v>
      </c>
      <c r="I93" s="5"/>
      <c r="J93" s="5"/>
      <c r="K93" s="5"/>
      <c r="L93" s="5"/>
    </row>
    <row r="94" spans="1:26" ht="28.9">
      <c r="A94" s="49" t="s">
        <v>154</v>
      </c>
      <c r="B94" s="5"/>
      <c r="C94" s="5"/>
      <c r="D94" s="5"/>
      <c r="E94" s="5" t="s">
        <v>198</v>
      </c>
      <c r="F94" s="5" t="s">
        <v>94</v>
      </c>
      <c r="G94" s="5" t="s">
        <v>94</v>
      </c>
      <c r="H94" s="8" t="s">
        <v>19</v>
      </c>
      <c r="I94" s="5"/>
      <c r="J94" s="5"/>
      <c r="K94" s="5"/>
      <c r="L94" s="5"/>
    </row>
    <row r="95" spans="1:26" ht="43.15">
      <c r="A95" s="49" t="s">
        <v>154</v>
      </c>
      <c r="B95" s="5"/>
      <c r="C95" s="5"/>
      <c r="D95" s="5"/>
      <c r="E95" s="5" t="s">
        <v>199</v>
      </c>
      <c r="F95" s="5" t="s">
        <v>97</v>
      </c>
      <c r="G95" s="5" t="s">
        <v>200</v>
      </c>
      <c r="H95" s="8" t="s">
        <v>19</v>
      </c>
      <c r="I95" s="5"/>
      <c r="J95" s="5"/>
      <c r="K95" s="5"/>
      <c r="L95" s="5"/>
    </row>
    <row r="96" spans="1:26" ht="43.15">
      <c r="A96" s="49" t="s">
        <v>154</v>
      </c>
      <c r="B96" s="5"/>
      <c r="C96" s="5"/>
      <c r="D96" s="5"/>
      <c r="E96" s="5" t="s">
        <v>201</v>
      </c>
      <c r="F96" s="5" t="s">
        <v>100</v>
      </c>
      <c r="G96" s="5" t="s">
        <v>202</v>
      </c>
      <c r="H96" s="8" t="s">
        <v>19</v>
      </c>
      <c r="I96" s="5"/>
      <c r="J96" s="5"/>
      <c r="K96" s="5"/>
      <c r="L96" s="5"/>
    </row>
    <row r="97" spans="1:12" ht="43.15">
      <c r="A97" s="49" t="s">
        <v>154</v>
      </c>
      <c r="B97" s="5"/>
      <c r="C97" s="5"/>
      <c r="D97" s="5"/>
      <c r="E97" s="5" t="s">
        <v>203</v>
      </c>
      <c r="F97" s="5" t="s">
        <v>103</v>
      </c>
      <c r="G97" s="5" t="s">
        <v>204</v>
      </c>
      <c r="H97" s="8" t="s">
        <v>19</v>
      </c>
      <c r="I97" s="5"/>
      <c r="J97" s="5"/>
      <c r="K97" s="5"/>
      <c r="L97" s="5"/>
    </row>
    <row r="98" spans="1:12" ht="28.9">
      <c r="A98" s="49" t="s">
        <v>154</v>
      </c>
      <c r="B98" s="5"/>
      <c r="C98" s="5"/>
      <c r="D98" s="5"/>
      <c r="E98" s="5" t="s">
        <v>205</v>
      </c>
      <c r="F98" s="5" t="s">
        <v>106</v>
      </c>
      <c r="G98" s="5" t="s">
        <v>106</v>
      </c>
      <c r="H98" s="8" t="s">
        <v>19</v>
      </c>
      <c r="I98" s="5"/>
      <c r="J98" s="5"/>
      <c r="K98" s="5"/>
      <c r="L98" s="5"/>
    </row>
    <row r="99" spans="1:12" ht="100.9">
      <c r="A99" s="49" t="s">
        <v>206</v>
      </c>
      <c r="B99" s="4" t="s">
        <v>207</v>
      </c>
      <c r="C99" s="4"/>
      <c r="D99" s="4"/>
      <c r="E99" s="4"/>
      <c r="F99" s="4" t="s">
        <v>156</v>
      </c>
      <c r="G99" s="4" t="s">
        <v>157</v>
      </c>
      <c r="H99" s="4"/>
      <c r="I99" s="4"/>
      <c r="J99" s="4"/>
      <c r="K99" s="4"/>
      <c r="L99" s="4"/>
    </row>
    <row r="100" spans="1:12" ht="28.9">
      <c r="A100" s="49" t="s">
        <v>206</v>
      </c>
      <c r="B100" s="5"/>
      <c r="C100" s="5"/>
      <c r="D100" s="5"/>
      <c r="E100" s="5" t="s">
        <v>208</v>
      </c>
      <c r="F100" s="5" t="s">
        <v>159</v>
      </c>
      <c r="G100" s="5" t="s">
        <v>160</v>
      </c>
      <c r="H100" s="8" t="s">
        <v>19</v>
      </c>
      <c r="I100" s="5"/>
      <c r="J100" s="5"/>
      <c r="K100" s="5"/>
      <c r="L100" s="5"/>
    </row>
    <row r="101" spans="1:12" ht="28.9">
      <c r="A101" s="49" t="s">
        <v>206</v>
      </c>
      <c r="B101" s="5"/>
      <c r="C101" s="5"/>
      <c r="D101" s="5"/>
      <c r="E101" s="5" t="s">
        <v>209</v>
      </c>
      <c r="F101" s="5" t="s">
        <v>162</v>
      </c>
      <c r="G101" s="5" t="s">
        <v>163</v>
      </c>
      <c r="H101" s="8" t="s">
        <v>19</v>
      </c>
      <c r="I101" s="5"/>
      <c r="J101" s="5"/>
      <c r="K101" s="5"/>
      <c r="L101" s="5"/>
    </row>
    <row r="102" spans="1:12" ht="28.9">
      <c r="A102" s="49" t="s">
        <v>206</v>
      </c>
      <c r="B102" s="5"/>
      <c r="C102" s="5"/>
      <c r="D102" s="5"/>
      <c r="E102" s="5" t="s">
        <v>210</v>
      </c>
      <c r="F102" s="5" t="s">
        <v>165</v>
      </c>
      <c r="G102" s="5" t="s">
        <v>166</v>
      </c>
      <c r="H102" s="8" t="s">
        <v>19</v>
      </c>
      <c r="I102" s="5"/>
      <c r="J102" s="5"/>
      <c r="K102" s="5"/>
      <c r="L102" s="5"/>
    </row>
    <row r="103" spans="1:12" ht="28.9">
      <c r="A103" s="49" t="s">
        <v>206</v>
      </c>
      <c r="B103" s="5"/>
      <c r="C103" s="5"/>
      <c r="D103" s="5"/>
      <c r="E103" s="5" t="s">
        <v>211</v>
      </c>
      <c r="F103" s="5" t="s">
        <v>168</v>
      </c>
      <c r="G103" s="5" t="s">
        <v>169</v>
      </c>
      <c r="H103" s="8" t="s">
        <v>19</v>
      </c>
      <c r="I103" s="5"/>
      <c r="J103" s="5"/>
      <c r="K103" s="5"/>
      <c r="L103" s="5"/>
    </row>
    <row r="104" spans="1:12" ht="28.9">
      <c r="A104" s="49" t="s">
        <v>206</v>
      </c>
      <c r="B104" s="4" t="s">
        <v>54</v>
      </c>
      <c r="C104" s="4"/>
      <c r="D104" s="4"/>
      <c r="E104" s="4"/>
      <c r="F104" s="4" t="s">
        <v>55</v>
      </c>
      <c r="G104" s="4"/>
      <c r="H104" s="4"/>
      <c r="I104" s="4"/>
      <c r="J104" s="4"/>
      <c r="K104" s="4"/>
      <c r="L104" s="4"/>
    </row>
    <row r="105" spans="1:12" ht="28.9">
      <c r="A105" s="49" t="s">
        <v>206</v>
      </c>
      <c r="B105" s="5"/>
      <c r="C105" s="5"/>
      <c r="D105" s="5"/>
      <c r="E105" s="5" t="s">
        <v>212</v>
      </c>
      <c r="F105" s="5" t="s">
        <v>171</v>
      </c>
      <c r="G105" s="5" t="s">
        <v>172</v>
      </c>
      <c r="H105" s="8" t="s">
        <v>19</v>
      </c>
      <c r="I105" s="5"/>
      <c r="J105" s="5"/>
      <c r="K105" s="5"/>
      <c r="L105" s="5"/>
    </row>
    <row r="106" spans="1:12" ht="28.9">
      <c r="A106" s="49" t="s">
        <v>206</v>
      </c>
      <c r="B106" s="5"/>
      <c r="C106" s="5"/>
      <c r="D106" s="5"/>
      <c r="E106" s="5" t="s">
        <v>213</v>
      </c>
      <c r="F106" s="5" t="s">
        <v>60</v>
      </c>
      <c r="G106" s="5" t="s">
        <v>174</v>
      </c>
      <c r="H106" s="8" t="s">
        <v>19</v>
      </c>
      <c r="I106" s="5"/>
      <c r="J106" s="5"/>
      <c r="K106" s="5"/>
      <c r="L106" s="5"/>
    </row>
    <row r="107" spans="1:12" ht="28.9">
      <c r="A107" s="49" t="s">
        <v>206</v>
      </c>
      <c r="B107" s="5"/>
      <c r="C107" s="5"/>
      <c r="D107" s="5"/>
      <c r="E107" s="5" t="s">
        <v>214</v>
      </c>
      <c r="F107" s="5" t="s">
        <v>63</v>
      </c>
      <c r="G107" s="5" t="s">
        <v>176</v>
      </c>
      <c r="H107" s="8" t="s">
        <v>19</v>
      </c>
      <c r="I107" s="5"/>
      <c r="J107" s="5"/>
      <c r="K107" s="5"/>
      <c r="L107" s="5"/>
    </row>
    <row r="108" spans="1:12" ht="28.9">
      <c r="A108" s="49" t="s">
        <v>206</v>
      </c>
      <c r="B108" s="5"/>
      <c r="C108" s="5"/>
      <c r="D108" s="5"/>
      <c r="E108" s="5" t="s">
        <v>215</v>
      </c>
      <c r="F108" s="5" t="s">
        <v>66</v>
      </c>
      <c r="G108" s="5" t="s">
        <v>178</v>
      </c>
      <c r="H108" s="8" t="s">
        <v>19</v>
      </c>
      <c r="I108" s="5"/>
      <c r="J108" s="5"/>
      <c r="K108" s="5"/>
      <c r="L108" s="5"/>
    </row>
    <row r="109" spans="1:12" ht="28.9">
      <c r="A109" s="49" t="s">
        <v>206</v>
      </c>
      <c r="B109" s="5"/>
      <c r="C109" s="5"/>
      <c r="D109" s="5"/>
      <c r="E109" s="5" t="s">
        <v>216</v>
      </c>
      <c r="F109" s="5" t="s">
        <v>69</v>
      </c>
      <c r="G109" s="5" t="s">
        <v>70</v>
      </c>
      <c r="H109" s="8" t="s">
        <v>19</v>
      </c>
      <c r="I109" s="5"/>
      <c r="J109" s="5"/>
      <c r="K109" s="5"/>
      <c r="L109" s="5"/>
    </row>
    <row r="110" spans="1:12" ht="28.9">
      <c r="A110" s="49" t="s">
        <v>206</v>
      </c>
      <c r="B110" s="5"/>
      <c r="C110" s="5"/>
      <c r="D110" s="5"/>
      <c r="E110" s="5" t="s">
        <v>217</v>
      </c>
      <c r="F110" s="5" t="s">
        <v>72</v>
      </c>
      <c r="G110" s="5" t="s">
        <v>73</v>
      </c>
      <c r="H110" s="8" t="s">
        <v>19</v>
      </c>
      <c r="I110" s="5"/>
      <c r="J110" s="5"/>
      <c r="K110" s="5"/>
      <c r="L110" s="5"/>
    </row>
    <row r="111" spans="1:12" ht="28.9">
      <c r="A111" s="49" t="s">
        <v>206</v>
      </c>
      <c r="B111" s="5"/>
      <c r="C111" s="5"/>
      <c r="D111" s="5"/>
      <c r="E111" s="5" t="s">
        <v>218</v>
      </c>
      <c r="F111" s="5" t="s">
        <v>75</v>
      </c>
      <c r="G111" s="5" t="s">
        <v>76</v>
      </c>
      <c r="H111" s="8" t="s">
        <v>19</v>
      </c>
      <c r="I111" s="5"/>
      <c r="J111" s="5"/>
      <c r="K111" s="5"/>
      <c r="L111" s="5"/>
    </row>
    <row r="112" spans="1:12" ht="28.9">
      <c r="A112" s="49" t="s">
        <v>206</v>
      </c>
      <c r="B112" s="5"/>
      <c r="C112" s="5"/>
      <c r="D112" s="5"/>
      <c r="E112" s="5" t="s">
        <v>219</v>
      </c>
      <c r="F112" s="5" t="s">
        <v>78</v>
      </c>
      <c r="G112" s="5" t="s">
        <v>183</v>
      </c>
      <c r="H112" s="8" t="s">
        <v>19</v>
      </c>
      <c r="I112" s="5"/>
      <c r="J112" s="5"/>
      <c r="K112" s="5"/>
      <c r="L112" s="5"/>
    </row>
    <row r="113" spans="1:12" ht="28.9">
      <c r="A113" s="49" t="s">
        <v>206</v>
      </c>
      <c r="B113" s="4" t="s">
        <v>184</v>
      </c>
      <c r="C113" s="4"/>
      <c r="D113" s="4"/>
      <c r="E113" s="4"/>
      <c r="F113" s="4" t="s">
        <v>185</v>
      </c>
      <c r="G113" s="4"/>
      <c r="H113" s="4"/>
      <c r="I113" s="4"/>
      <c r="J113" s="4"/>
      <c r="K113" s="4"/>
      <c r="L113" s="4"/>
    </row>
    <row r="114" spans="1:12" ht="100.9">
      <c r="A114" s="49" t="s">
        <v>206</v>
      </c>
      <c r="B114" s="5"/>
      <c r="C114" s="5"/>
      <c r="D114" s="5"/>
      <c r="E114" s="5" t="s">
        <v>220</v>
      </c>
      <c r="F114" s="5" t="s">
        <v>187</v>
      </c>
      <c r="G114" s="5" t="s">
        <v>187</v>
      </c>
      <c r="H114" s="8" t="s">
        <v>19</v>
      </c>
      <c r="I114" s="5"/>
      <c r="J114" s="5"/>
      <c r="K114" s="5"/>
      <c r="L114" s="5"/>
    </row>
    <row r="115" spans="1:12" ht="28.9">
      <c r="A115" s="49" t="s">
        <v>206</v>
      </c>
      <c r="B115" s="5"/>
      <c r="C115" s="5"/>
      <c r="D115" s="5"/>
      <c r="E115" s="5" t="s">
        <v>221</v>
      </c>
      <c r="F115" s="5" t="s">
        <v>189</v>
      </c>
      <c r="G115" s="5" t="s">
        <v>190</v>
      </c>
      <c r="H115" s="8" t="s">
        <v>19</v>
      </c>
      <c r="I115" s="5"/>
      <c r="J115" s="5"/>
      <c r="K115" s="5"/>
      <c r="L115" s="5"/>
    </row>
    <row r="116" spans="1:12" ht="28.9">
      <c r="A116" s="49" t="s">
        <v>206</v>
      </c>
      <c r="B116" s="4" t="s">
        <v>54</v>
      </c>
      <c r="C116" s="4"/>
      <c r="D116" s="4"/>
      <c r="E116" s="4"/>
      <c r="F116" s="4" t="s">
        <v>80</v>
      </c>
      <c r="G116" s="4"/>
      <c r="H116" s="4"/>
      <c r="I116" s="4"/>
      <c r="J116" s="4"/>
      <c r="K116" s="4"/>
      <c r="L116" s="4"/>
    </row>
    <row r="117" spans="1:12" ht="28.9">
      <c r="A117" s="49" t="s">
        <v>206</v>
      </c>
      <c r="B117" s="5"/>
      <c r="C117" s="5"/>
      <c r="D117" s="5"/>
      <c r="E117" s="5" t="s">
        <v>222</v>
      </c>
      <c r="F117" s="5" t="s">
        <v>82</v>
      </c>
      <c r="G117" s="5" t="s">
        <v>192</v>
      </c>
      <c r="H117" s="8" t="s">
        <v>19</v>
      </c>
      <c r="I117" s="5"/>
      <c r="J117" s="5"/>
      <c r="K117" s="5"/>
      <c r="L117" s="5"/>
    </row>
    <row r="118" spans="1:12" ht="28.9">
      <c r="A118" s="49" t="s">
        <v>206</v>
      </c>
      <c r="B118" s="5"/>
      <c r="C118" s="5"/>
      <c r="D118" s="5"/>
      <c r="E118" s="5" t="s">
        <v>223</v>
      </c>
      <c r="F118" s="5" t="s">
        <v>85</v>
      </c>
      <c r="G118" s="5" t="s">
        <v>194</v>
      </c>
      <c r="H118" s="8" t="s">
        <v>19</v>
      </c>
      <c r="I118" s="5"/>
      <c r="J118" s="5"/>
      <c r="K118" s="5"/>
      <c r="L118" s="5"/>
    </row>
    <row r="119" spans="1:12" ht="28.9">
      <c r="A119" s="49" t="s">
        <v>206</v>
      </c>
      <c r="B119" s="5"/>
      <c r="C119" s="5"/>
      <c r="D119" s="5"/>
      <c r="E119" s="5" t="s">
        <v>224</v>
      </c>
      <c r="F119" s="5" t="s">
        <v>88</v>
      </c>
      <c r="G119" s="5" t="s">
        <v>196</v>
      </c>
      <c r="H119" s="8" t="s">
        <v>19</v>
      </c>
      <c r="I119" s="5"/>
      <c r="J119" s="5"/>
      <c r="K119" s="5"/>
      <c r="L119" s="5"/>
    </row>
    <row r="120" spans="1:12" ht="28.9">
      <c r="A120" s="49" t="s">
        <v>206</v>
      </c>
      <c r="B120" s="5"/>
      <c r="C120" s="5"/>
      <c r="D120" s="5"/>
      <c r="E120" s="5" t="s">
        <v>225</v>
      </c>
      <c r="F120" s="5" t="s">
        <v>91</v>
      </c>
      <c r="G120" s="5" t="s">
        <v>91</v>
      </c>
      <c r="H120" s="8" t="s">
        <v>19</v>
      </c>
      <c r="I120" s="5"/>
      <c r="J120" s="5"/>
      <c r="K120" s="5"/>
      <c r="L120" s="5"/>
    </row>
    <row r="121" spans="1:12" ht="28.9">
      <c r="A121" s="49" t="s">
        <v>206</v>
      </c>
      <c r="B121" s="5"/>
      <c r="C121" s="5"/>
      <c r="D121" s="5"/>
      <c r="E121" s="5" t="s">
        <v>226</v>
      </c>
      <c r="F121" s="5" t="s">
        <v>94</v>
      </c>
      <c r="G121" s="5" t="s">
        <v>94</v>
      </c>
      <c r="H121" s="8" t="s">
        <v>19</v>
      </c>
      <c r="I121" s="5"/>
      <c r="J121" s="5"/>
      <c r="K121" s="5"/>
      <c r="L121" s="5"/>
    </row>
    <row r="122" spans="1:12" ht="43.15">
      <c r="A122" s="49" t="s">
        <v>206</v>
      </c>
      <c r="B122" s="5"/>
      <c r="C122" s="5"/>
      <c r="D122" s="5"/>
      <c r="E122" s="5" t="s">
        <v>227</v>
      </c>
      <c r="F122" s="5" t="s">
        <v>97</v>
      </c>
      <c r="G122" s="5" t="s">
        <v>200</v>
      </c>
      <c r="H122" s="8" t="s">
        <v>19</v>
      </c>
      <c r="I122" s="5"/>
      <c r="J122" s="5"/>
      <c r="K122" s="5"/>
      <c r="L122" s="5"/>
    </row>
    <row r="123" spans="1:12" ht="43.15">
      <c r="A123" s="49" t="s">
        <v>206</v>
      </c>
      <c r="B123" s="5"/>
      <c r="C123" s="5"/>
      <c r="D123" s="5"/>
      <c r="E123" s="5" t="s">
        <v>228</v>
      </c>
      <c r="F123" s="5" t="s">
        <v>100</v>
      </c>
      <c r="G123" s="5" t="s">
        <v>202</v>
      </c>
      <c r="H123" s="8" t="s">
        <v>19</v>
      </c>
      <c r="I123" s="5"/>
      <c r="J123" s="5"/>
      <c r="K123" s="5"/>
      <c r="L123" s="5"/>
    </row>
    <row r="124" spans="1:12" ht="43.15">
      <c r="A124" s="49" t="s">
        <v>206</v>
      </c>
      <c r="B124" s="5"/>
      <c r="C124" s="5"/>
      <c r="D124" s="5"/>
      <c r="E124" s="5" t="s">
        <v>229</v>
      </c>
      <c r="F124" s="5" t="s">
        <v>103</v>
      </c>
      <c r="G124" s="5" t="s">
        <v>204</v>
      </c>
      <c r="H124" s="8" t="s">
        <v>19</v>
      </c>
      <c r="I124" s="5"/>
      <c r="J124" s="5"/>
      <c r="K124" s="5"/>
      <c r="L124" s="5"/>
    </row>
    <row r="125" spans="1:12" ht="28.9">
      <c r="A125" s="49" t="s">
        <v>206</v>
      </c>
      <c r="B125" s="5"/>
      <c r="C125" s="5"/>
      <c r="D125" s="5"/>
      <c r="E125" s="5" t="s">
        <v>230</v>
      </c>
      <c r="F125" s="5" t="s">
        <v>106</v>
      </c>
      <c r="G125" s="5" t="s">
        <v>106</v>
      </c>
      <c r="H125" s="8" t="s">
        <v>19</v>
      </c>
      <c r="I125" s="5"/>
      <c r="J125" s="5"/>
      <c r="K125" s="5"/>
      <c r="L125" s="5"/>
    </row>
    <row r="126" spans="1:12">
      <c r="A126" s="49" t="s">
        <v>231</v>
      </c>
      <c r="B126" s="4" t="s">
        <v>232</v>
      </c>
      <c r="C126" s="4"/>
      <c r="D126" s="4"/>
      <c r="E126" s="4"/>
      <c r="F126" s="4" t="s">
        <v>233</v>
      </c>
      <c r="G126" s="4"/>
      <c r="H126" s="4"/>
      <c r="I126" s="4"/>
      <c r="J126" s="4"/>
      <c r="K126" s="4"/>
      <c r="L126" s="4"/>
    </row>
    <row r="127" spans="1:12" ht="28.9">
      <c r="A127" s="49" t="s">
        <v>231</v>
      </c>
      <c r="B127" s="5"/>
      <c r="C127" s="5"/>
      <c r="D127" s="5"/>
      <c r="E127" s="5" t="s">
        <v>234</v>
      </c>
      <c r="F127" s="5" t="s">
        <v>235</v>
      </c>
      <c r="G127" s="5"/>
      <c r="H127" s="8" t="s">
        <v>19</v>
      </c>
      <c r="I127" s="5"/>
      <c r="J127" s="5"/>
      <c r="K127" s="5"/>
      <c r="L127" s="5"/>
    </row>
    <row r="128" spans="1:12" ht="28.9">
      <c r="A128" s="49" t="s">
        <v>231</v>
      </c>
      <c r="B128" s="5"/>
      <c r="C128" s="5"/>
      <c r="D128" s="5"/>
      <c r="E128" s="5" t="s">
        <v>236</v>
      </c>
      <c r="F128" s="5" t="s">
        <v>237</v>
      </c>
      <c r="G128" s="5"/>
      <c r="H128" s="8" t="s">
        <v>19</v>
      </c>
      <c r="I128" s="5"/>
      <c r="J128" s="5"/>
      <c r="K128" s="5"/>
      <c r="L128" s="5"/>
    </row>
    <row r="129" spans="1:12" ht="28.9">
      <c r="A129" s="49" t="s">
        <v>231</v>
      </c>
      <c r="B129" s="5"/>
      <c r="C129" s="5"/>
      <c r="D129" s="5"/>
      <c r="E129" s="5" t="s">
        <v>238</v>
      </c>
      <c r="F129" s="5" t="s">
        <v>60</v>
      </c>
      <c r="G129" s="5"/>
      <c r="H129" s="8" t="s">
        <v>19</v>
      </c>
      <c r="I129" s="5"/>
      <c r="J129" s="5"/>
      <c r="K129" s="5"/>
      <c r="L129" s="5"/>
    </row>
    <row r="130" spans="1:12" ht="28.9">
      <c r="A130" s="49" t="s">
        <v>231</v>
      </c>
      <c r="B130" s="5"/>
      <c r="C130" s="5"/>
      <c r="D130" s="5"/>
      <c r="E130" s="5" t="s">
        <v>239</v>
      </c>
      <c r="F130" s="5" t="s">
        <v>63</v>
      </c>
      <c r="G130" s="5"/>
      <c r="H130" s="8" t="s">
        <v>19</v>
      </c>
      <c r="I130" s="5"/>
      <c r="J130" s="5"/>
      <c r="K130" s="5"/>
      <c r="L130" s="5"/>
    </row>
    <row r="131" spans="1:12" ht="28.9">
      <c r="A131" s="49" t="s">
        <v>231</v>
      </c>
      <c r="B131" s="5"/>
      <c r="C131" s="5"/>
      <c r="D131" s="5"/>
      <c r="E131" s="5" t="s">
        <v>240</v>
      </c>
      <c r="F131" s="5" t="s">
        <v>66</v>
      </c>
      <c r="G131" s="5"/>
      <c r="H131" s="8" t="s">
        <v>19</v>
      </c>
      <c r="I131" s="5"/>
      <c r="J131" s="5"/>
      <c r="K131" s="5"/>
      <c r="L131" s="5"/>
    </row>
    <row r="132" spans="1:12" ht="28.9">
      <c r="A132" s="49" t="s">
        <v>231</v>
      </c>
      <c r="B132" s="5"/>
      <c r="C132" s="5"/>
      <c r="D132" s="5"/>
      <c r="E132" s="5" t="s">
        <v>241</v>
      </c>
      <c r="F132" s="5" t="s">
        <v>69</v>
      </c>
      <c r="G132" s="5"/>
      <c r="H132" s="8" t="s">
        <v>19</v>
      </c>
      <c r="I132" s="5"/>
      <c r="J132" s="5"/>
      <c r="K132" s="5"/>
      <c r="L132" s="5"/>
    </row>
    <row r="133" spans="1:12" ht="28.9">
      <c r="A133" s="49" t="s">
        <v>231</v>
      </c>
      <c r="B133" s="5"/>
      <c r="C133" s="5"/>
      <c r="D133" s="5"/>
      <c r="E133" s="5" t="s">
        <v>242</v>
      </c>
      <c r="F133" s="5" t="s">
        <v>152</v>
      </c>
      <c r="G133" s="5"/>
      <c r="H133" s="8" t="s">
        <v>19</v>
      </c>
      <c r="I133" s="5"/>
      <c r="J133" s="5"/>
      <c r="K133" s="5"/>
      <c r="L133" s="5"/>
    </row>
    <row r="134" spans="1:12" ht="28.9">
      <c r="A134" s="49" t="s">
        <v>231</v>
      </c>
      <c r="B134" s="5"/>
      <c r="C134" s="5"/>
      <c r="D134" s="5"/>
      <c r="E134" s="5" t="s">
        <v>243</v>
      </c>
      <c r="F134" s="5" t="s">
        <v>72</v>
      </c>
      <c r="G134" s="5"/>
      <c r="H134" s="8" t="s">
        <v>19</v>
      </c>
      <c r="I134" s="5"/>
      <c r="J134" s="5"/>
      <c r="K134" s="5"/>
      <c r="L134" s="5"/>
    </row>
    <row r="135" spans="1:12" ht="28.9">
      <c r="A135" s="49" t="s">
        <v>231</v>
      </c>
      <c r="B135" s="5"/>
      <c r="C135" s="5"/>
      <c r="D135" s="5"/>
      <c r="E135" s="5" t="s">
        <v>244</v>
      </c>
      <c r="F135" s="5" t="s">
        <v>75</v>
      </c>
      <c r="G135" s="5"/>
      <c r="H135" s="8" t="s">
        <v>19</v>
      </c>
      <c r="I135" s="5"/>
      <c r="J135" s="5"/>
      <c r="K135" s="5"/>
      <c r="L135" s="5"/>
    </row>
    <row r="136" spans="1:12" ht="28.9">
      <c r="A136" s="49" t="s">
        <v>231</v>
      </c>
      <c r="B136" s="5"/>
      <c r="C136" s="5"/>
      <c r="D136" s="5"/>
      <c r="E136" s="5" t="s">
        <v>245</v>
      </c>
      <c r="F136" s="5" t="s">
        <v>78</v>
      </c>
      <c r="G136" s="5"/>
      <c r="H136" s="8" t="s">
        <v>19</v>
      </c>
      <c r="I136" s="5"/>
      <c r="J136" s="5"/>
      <c r="K136" s="5"/>
      <c r="L136" s="5"/>
    </row>
    <row r="137" spans="1:12" ht="28.9">
      <c r="A137" s="49" t="s">
        <v>231</v>
      </c>
      <c r="B137" s="5"/>
      <c r="C137" s="5"/>
      <c r="D137" s="5"/>
      <c r="E137" s="5" t="s">
        <v>246</v>
      </c>
      <c r="F137" s="5" t="s">
        <v>247</v>
      </c>
      <c r="G137" s="5"/>
      <c r="H137" s="8" t="s">
        <v>19</v>
      </c>
      <c r="I137" s="5"/>
      <c r="J137" s="5"/>
      <c r="K137" s="5"/>
      <c r="L137" s="5"/>
    </row>
    <row r="138" spans="1:12" ht="28.9">
      <c r="A138" s="49" t="s">
        <v>231</v>
      </c>
      <c r="B138" s="5"/>
      <c r="C138" s="5"/>
      <c r="D138" s="5"/>
      <c r="E138" s="5" t="s">
        <v>248</v>
      </c>
      <c r="F138" s="5" t="s">
        <v>249</v>
      </c>
      <c r="G138" s="5"/>
      <c r="H138" s="8" t="s">
        <v>19</v>
      </c>
      <c r="I138" s="5"/>
      <c r="J138" s="5"/>
      <c r="K138" s="5"/>
      <c r="L138" s="5"/>
    </row>
    <row r="139" spans="1:12" ht="28.9">
      <c r="A139" s="49" t="s">
        <v>231</v>
      </c>
      <c r="B139" s="5"/>
      <c r="C139" s="5"/>
      <c r="D139" s="5"/>
      <c r="E139" s="5" t="s">
        <v>250</v>
      </c>
      <c r="F139" s="5" t="s">
        <v>251</v>
      </c>
      <c r="G139" s="5"/>
      <c r="H139" s="8" t="s">
        <v>19</v>
      </c>
      <c r="I139" s="5"/>
      <c r="J139" s="5"/>
      <c r="K139" s="5"/>
      <c r="L139" s="5"/>
    </row>
    <row r="140" spans="1:12" ht="28.9">
      <c r="A140" s="49" t="s">
        <v>231</v>
      </c>
      <c r="B140" s="5"/>
      <c r="C140" s="5"/>
      <c r="D140" s="5"/>
      <c r="E140" s="5" t="s">
        <v>252</v>
      </c>
      <c r="F140" s="5" t="s">
        <v>253</v>
      </c>
      <c r="G140" s="5"/>
      <c r="H140" s="8" t="s">
        <v>19</v>
      </c>
      <c r="I140" s="5"/>
      <c r="J140" s="5"/>
      <c r="K140" s="5"/>
      <c r="L140" s="5"/>
    </row>
    <row r="141" spans="1:12" ht="43.15">
      <c r="A141" s="49" t="s">
        <v>231</v>
      </c>
      <c r="B141" s="5"/>
      <c r="C141" s="5"/>
      <c r="D141" s="5"/>
      <c r="E141" s="5" t="s">
        <v>254</v>
      </c>
      <c r="F141" s="5" t="s">
        <v>255</v>
      </c>
      <c r="G141" s="5"/>
      <c r="H141" s="8" t="s">
        <v>19</v>
      </c>
      <c r="I141" s="5"/>
      <c r="J141" s="5"/>
      <c r="K141" s="5"/>
      <c r="L141" s="5"/>
    </row>
    <row r="142" spans="1:12" ht="28.9">
      <c r="A142" s="49" t="s">
        <v>231</v>
      </c>
      <c r="B142" s="5"/>
      <c r="C142" s="5"/>
      <c r="D142" s="5"/>
      <c r="E142" s="5" t="s">
        <v>256</v>
      </c>
      <c r="F142" s="5" t="s">
        <v>257</v>
      </c>
      <c r="G142" s="5"/>
      <c r="H142" s="8" t="s">
        <v>19</v>
      </c>
      <c r="I142" s="5"/>
      <c r="J142" s="5"/>
      <c r="K142" s="5"/>
      <c r="L142" s="5"/>
    </row>
    <row r="143" spans="1:12" ht="28.9">
      <c r="A143" s="49" t="s">
        <v>231</v>
      </c>
      <c r="B143" s="5"/>
      <c r="C143" s="5"/>
      <c r="D143" s="5"/>
      <c r="E143" s="5" t="s">
        <v>258</v>
      </c>
      <c r="F143" s="5" t="s">
        <v>82</v>
      </c>
      <c r="G143" s="5"/>
      <c r="H143" s="8" t="s">
        <v>19</v>
      </c>
      <c r="I143" s="5"/>
      <c r="J143" s="5"/>
      <c r="K143" s="5"/>
      <c r="L143" s="5"/>
    </row>
    <row r="144" spans="1:12" ht="28.9">
      <c r="A144" s="49" t="s">
        <v>231</v>
      </c>
      <c r="B144" s="5"/>
      <c r="C144" s="5"/>
      <c r="D144" s="5"/>
      <c r="E144" s="5" t="s">
        <v>259</v>
      </c>
      <c r="F144" s="5" t="s">
        <v>85</v>
      </c>
      <c r="G144" s="5"/>
      <c r="H144" s="8" t="s">
        <v>19</v>
      </c>
      <c r="I144" s="5"/>
      <c r="J144" s="5"/>
      <c r="K144" s="5"/>
      <c r="L144" s="5"/>
    </row>
    <row r="145" spans="1:12" ht="28.9">
      <c r="A145" s="49" t="s">
        <v>231</v>
      </c>
      <c r="B145" s="5"/>
      <c r="C145" s="5"/>
      <c r="D145" s="5"/>
      <c r="E145" s="5" t="s">
        <v>260</v>
      </c>
      <c r="F145" s="5" t="s">
        <v>88</v>
      </c>
      <c r="G145" s="5"/>
      <c r="H145" s="8" t="s">
        <v>19</v>
      </c>
      <c r="I145" s="5"/>
      <c r="J145" s="5"/>
      <c r="K145" s="5"/>
      <c r="L145" s="5"/>
    </row>
    <row r="146" spans="1:12" ht="28.9">
      <c r="A146" s="49" t="s">
        <v>231</v>
      </c>
      <c r="B146" s="5"/>
      <c r="C146" s="5"/>
      <c r="D146" s="5"/>
      <c r="E146" s="5" t="s">
        <v>261</v>
      </c>
      <c r="F146" s="5" t="s">
        <v>91</v>
      </c>
      <c r="G146" s="5"/>
      <c r="H146" s="8" t="s">
        <v>19</v>
      </c>
      <c r="I146" s="5"/>
      <c r="J146" s="5"/>
      <c r="K146" s="5"/>
      <c r="L146" s="5"/>
    </row>
    <row r="147" spans="1:12" ht="28.9">
      <c r="A147" s="49" t="s">
        <v>231</v>
      </c>
      <c r="B147" s="5"/>
      <c r="C147" s="5"/>
      <c r="D147" s="5"/>
      <c r="E147" s="5" t="s">
        <v>262</v>
      </c>
      <c r="F147" s="5" t="s">
        <v>94</v>
      </c>
      <c r="G147" s="5"/>
      <c r="H147" s="8" t="s">
        <v>19</v>
      </c>
      <c r="I147" s="5"/>
      <c r="J147" s="5"/>
      <c r="K147" s="5"/>
      <c r="L147" s="5"/>
    </row>
    <row r="1048548" spans="2:3">
      <c r="C1048548" s="7" t="s">
        <v>263</v>
      </c>
    </row>
    <row r="1048549" spans="2:3">
      <c r="C1048549" s="7" t="s">
        <v>264</v>
      </c>
    </row>
    <row r="1048550" spans="2:3">
      <c r="C1048550" s="7" t="s">
        <v>265</v>
      </c>
    </row>
    <row r="1048551" spans="2:3" ht="43.15">
      <c r="C1048551" s="7" t="s">
        <v>266</v>
      </c>
    </row>
    <row r="1048552" spans="2:3" ht="28.9">
      <c r="C1048552" s="7" t="s">
        <v>267</v>
      </c>
    </row>
    <row r="1048553" spans="2:3">
      <c r="B1048553" s="7" t="s">
        <v>20</v>
      </c>
      <c r="C1048553" s="7" t="s">
        <v>19</v>
      </c>
    </row>
    <row r="1048554" spans="2:3">
      <c r="B1048554" s="7" t="s">
        <v>268</v>
      </c>
    </row>
  </sheetData>
  <phoneticPr fontId="1" type="noConversion"/>
  <conditionalFormatting sqref="H1:H33 H35:H147">
    <cfRule type="cellIs" dxfId="44" priority="1" stopIfTrue="1" operator="equal">
      <formula>"Deferred"</formula>
    </cfRule>
    <cfRule type="cellIs" dxfId="43" priority="2" operator="equal">
      <formula>"Not Applicable"</formula>
    </cfRule>
    <cfRule type="cellIs" dxfId="42" priority="3" operator="equal">
      <formula>"Pass"</formula>
    </cfRule>
    <cfRule type="cellIs" dxfId="41" priority="4" operator="equal">
      <formula>"Fail"</formula>
    </cfRule>
    <cfRule type="cellIs" dxfId="40" priority="5" operator="equal">
      <formula>"In progress"</formula>
    </cfRule>
  </conditionalFormatting>
  <dataValidations count="2">
    <dataValidation type="list" allowBlank="1" showInputMessage="1" showErrorMessage="1" sqref="H62:H71 H73:H76 H87:H88 H90:H98 H48:H51 H53:H60 H3:H14 H25:H46 H16:H23 H78:H85 H100:H103 H114:H115 H117:H125 H105:H112 H127:H147" xr:uid="{039CF4C3-5FC1-4AE3-AA85-23CBF2EA9ECE}">
      <formula1>"Pass,Fail,Deferred,Not Valid,Not Applicable,In Progress,No Run"</formula1>
    </dataValidation>
    <dataValidation type="list" allowBlank="1" showInputMessage="1" showErrorMessage="1" sqref="J3:J147" xr:uid="{56112F88-56A6-4CEB-AA5F-41F69EEBDE1D}">
      <formula1>$B$1048553:$B$1048576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F3DA-3A62-4D08-983E-51447384C658}">
  <dimension ref="A1:L1048572"/>
  <sheetViews>
    <sheetView topLeftCell="B1" workbookViewId="0">
      <pane ySplit="1" topLeftCell="A36" activePane="bottomLeft" state="frozen"/>
      <selection pane="bottomLeft" activeCell="H42" sqref="H42"/>
    </sheetView>
  </sheetViews>
  <sheetFormatPr defaultColWidth="35.7109375" defaultRowHeight="14.45"/>
  <cols>
    <col min="1" max="1" width="17.7109375" customWidth="1"/>
    <col min="2" max="2" width="19.42578125" customWidth="1"/>
    <col min="3" max="4" width="8.7109375" bestFit="1" customWidth="1"/>
    <col min="5" max="5" width="5.140625" bestFit="1" customWidth="1"/>
    <col min="6" max="6" width="56.85546875" customWidth="1"/>
    <col min="7" max="7" width="42.28515625" customWidth="1"/>
    <col min="8" max="8" width="8.42578125" style="7" bestFit="1" customWidth="1"/>
    <col min="9" max="9" width="11.28515625" bestFit="1" customWidth="1"/>
    <col min="10" max="11" width="11.85546875" bestFit="1" customWidth="1"/>
    <col min="12" max="12" width="15.7109375" bestFit="1" customWidth="1"/>
  </cols>
  <sheetData>
    <row r="1" spans="1:12" ht="43.15">
      <c r="A1" s="2" t="s">
        <v>0</v>
      </c>
      <c r="B1" s="2" t="s">
        <v>1</v>
      </c>
      <c r="C1" s="2" t="s">
        <v>2</v>
      </c>
      <c r="D1" s="2" t="s">
        <v>3</v>
      </c>
      <c r="E1" s="2" t="s">
        <v>4</v>
      </c>
      <c r="F1" s="2" t="s">
        <v>5</v>
      </c>
      <c r="G1" s="2" t="s">
        <v>6</v>
      </c>
      <c r="H1" s="2" t="s">
        <v>7</v>
      </c>
      <c r="I1" s="2" t="s">
        <v>8</v>
      </c>
      <c r="J1" s="2" t="s">
        <v>9</v>
      </c>
      <c r="K1" s="2" t="s">
        <v>10</v>
      </c>
      <c r="L1" s="2" t="s">
        <v>11</v>
      </c>
    </row>
    <row r="2" spans="1:12" ht="288">
      <c r="A2" s="49" t="s">
        <v>269</v>
      </c>
      <c r="B2" s="4" t="s">
        <v>270</v>
      </c>
      <c r="C2" s="4"/>
      <c r="D2" s="4"/>
      <c r="E2" s="4"/>
      <c r="F2" s="9" t="s">
        <v>271</v>
      </c>
      <c r="G2" s="9" t="s">
        <v>272</v>
      </c>
      <c r="H2" s="4"/>
      <c r="I2" s="4"/>
      <c r="J2" s="4"/>
      <c r="K2" s="4"/>
      <c r="L2" s="4"/>
    </row>
    <row r="3" spans="1:12">
      <c r="A3" s="49" t="s">
        <v>269</v>
      </c>
      <c r="B3" s="12" t="s">
        <v>54</v>
      </c>
      <c r="C3" s="12"/>
      <c r="D3" s="12"/>
      <c r="E3" s="12"/>
      <c r="F3" s="13" t="s">
        <v>273</v>
      </c>
      <c r="G3" s="13" t="s">
        <v>274</v>
      </c>
      <c r="H3" s="4"/>
      <c r="I3" s="12"/>
      <c r="J3" s="12"/>
      <c r="K3" s="12"/>
      <c r="L3" s="12"/>
    </row>
    <row r="4" spans="1:12">
      <c r="A4" s="49" t="s">
        <v>269</v>
      </c>
      <c r="B4" s="5"/>
      <c r="C4" s="5"/>
      <c r="D4" s="5"/>
      <c r="E4" s="5" t="s">
        <v>16</v>
      </c>
      <c r="F4" s="10" t="s">
        <v>275</v>
      </c>
      <c r="G4" s="5" t="s">
        <v>276</v>
      </c>
      <c r="H4" s="8" t="s">
        <v>19</v>
      </c>
      <c r="I4" s="5"/>
      <c r="J4" s="5"/>
      <c r="K4" s="5"/>
      <c r="L4" s="5"/>
    </row>
    <row r="5" spans="1:12" ht="41.45">
      <c r="A5" s="49" t="s">
        <v>269</v>
      </c>
      <c r="B5" s="5"/>
      <c r="C5" s="5"/>
      <c r="D5" s="5"/>
      <c r="E5" s="5" t="s">
        <v>21</v>
      </c>
      <c r="F5" s="10" t="s">
        <v>277</v>
      </c>
      <c r="G5" s="5" t="s">
        <v>278</v>
      </c>
      <c r="H5" s="8" t="s">
        <v>19</v>
      </c>
      <c r="I5" s="5"/>
      <c r="J5" s="5"/>
      <c r="K5" s="5"/>
      <c r="L5" s="5"/>
    </row>
    <row r="6" spans="1:12" ht="28.9">
      <c r="A6" s="49" t="s">
        <v>269</v>
      </c>
      <c r="B6" s="5"/>
      <c r="C6" s="5"/>
      <c r="D6" s="5"/>
      <c r="E6" s="5" t="s">
        <v>24</v>
      </c>
      <c r="F6" s="10" t="s">
        <v>279</v>
      </c>
      <c r="G6" s="5" t="s">
        <v>280</v>
      </c>
      <c r="H6" s="8" t="s">
        <v>19</v>
      </c>
      <c r="I6" s="5"/>
      <c r="J6" s="5"/>
      <c r="K6" s="5"/>
      <c r="L6" s="5"/>
    </row>
    <row r="7" spans="1:12" ht="28.9">
      <c r="A7" s="49" t="s">
        <v>269</v>
      </c>
      <c r="B7" s="5"/>
      <c r="C7" s="5"/>
      <c r="D7" s="5"/>
      <c r="E7" s="5" t="s">
        <v>27</v>
      </c>
      <c r="F7" s="10" t="s">
        <v>281</v>
      </c>
      <c r="G7" s="5" t="s">
        <v>282</v>
      </c>
      <c r="H7" s="8" t="s">
        <v>19</v>
      </c>
      <c r="I7" s="5"/>
      <c r="J7" s="5"/>
      <c r="K7" s="5"/>
      <c r="L7" s="5"/>
    </row>
    <row r="8" spans="1:12" ht="28.9">
      <c r="A8" s="49" t="s">
        <v>269</v>
      </c>
      <c r="B8" s="5"/>
      <c r="C8" s="5"/>
      <c r="D8" s="5"/>
      <c r="E8" s="5" t="s">
        <v>30</v>
      </c>
      <c r="F8" s="10" t="s">
        <v>283</v>
      </c>
      <c r="G8" s="5" t="s">
        <v>284</v>
      </c>
      <c r="H8" s="8" t="s">
        <v>19</v>
      </c>
      <c r="I8" s="5"/>
      <c r="J8" s="5"/>
      <c r="K8" s="5"/>
      <c r="L8" s="5"/>
    </row>
    <row r="9" spans="1:12" ht="27.6">
      <c r="A9" s="49" t="s">
        <v>269</v>
      </c>
      <c r="B9" s="5"/>
      <c r="C9" s="5"/>
      <c r="D9" s="5"/>
      <c r="E9" s="5" t="s">
        <v>33</v>
      </c>
      <c r="F9" s="10" t="s">
        <v>285</v>
      </c>
      <c r="G9" s="5" t="s">
        <v>286</v>
      </c>
      <c r="H9" s="8" t="s">
        <v>19</v>
      </c>
      <c r="I9" s="5"/>
      <c r="J9" s="5"/>
      <c r="K9" s="5"/>
      <c r="L9" s="5"/>
    </row>
    <row r="10" spans="1:12" ht="27.6">
      <c r="A10" s="49" t="s">
        <v>269</v>
      </c>
      <c r="B10" s="5"/>
      <c r="C10" s="5"/>
      <c r="D10" s="5"/>
      <c r="E10" s="5" t="s">
        <v>36</v>
      </c>
      <c r="F10" s="10" t="s">
        <v>287</v>
      </c>
      <c r="G10" s="5" t="s">
        <v>288</v>
      </c>
      <c r="H10" s="8" t="s">
        <v>19</v>
      </c>
      <c r="I10" s="5"/>
      <c r="J10" s="5"/>
      <c r="K10" s="5"/>
      <c r="L10" s="5"/>
    </row>
    <row r="11" spans="1:12" ht="28.9">
      <c r="A11" s="49" t="s">
        <v>269</v>
      </c>
      <c r="B11" s="5"/>
      <c r="C11" s="5"/>
      <c r="D11" s="5"/>
      <c r="E11" s="5" t="s">
        <v>39</v>
      </c>
      <c r="F11" s="10" t="s">
        <v>289</v>
      </c>
      <c r="G11" s="5" t="s">
        <v>290</v>
      </c>
      <c r="H11" s="8" t="s">
        <v>19</v>
      </c>
      <c r="I11" s="5"/>
      <c r="J11" s="5"/>
      <c r="K11" s="5"/>
      <c r="L11" s="5"/>
    </row>
    <row r="12" spans="1:12" ht="27.6">
      <c r="A12" s="49" t="s">
        <v>269</v>
      </c>
      <c r="B12" s="5"/>
      <c r="C12" s="5"/>
      <c r="D12" s="5"/>
      <c r="E12" s="5" t="s">
        <v>42</v>
      </c>
      <c r="F12" s="10" t="s">
        <v>291</v>
      </c>
      <c r="G12" s="5" t="s">
        <v>292</v>
      </c>
      <c r="H12" s="8" t="s">
        <v>19</v>
      </c>
      <c r="I12" s="5"/>
      <c r="J12" s="5"/>
      <c r="K12" s="5"/>
      <c r="L12" s="5"/>
    </row>
    <row r="13" spans="1:12" ht="28.9">
      <c r="A13" s="49" t="s">
        <v>269</v>
      </c>
      <c r="B13" s="5"/>
      <c r="C13" s="5"/>
      <c r="D13" s="5"/>
      <c r="E13" s="5" t="s">
        <v>45</v>
      </c>
      <c r="F13" s="10" t="s">
        <v>293</v>
      </c>
      <c r="G13" s="5" t="s">
        <v>294</v>
      </c>
      <c r="H13" s="8" t="s">
        <v>19</v>
      </c>
      <c r="I13" s="5"/>
      <c r="J13" s="5"/>
      <c r="K13" s="5"/>
      <c r="L13" s="5"/>
    </row>
    <row r="14" spans="1:12" ht="28.9">
      <c r="A14" s="49" t="s">
        <v>269</v>
      </c>
      <c r="B14" s="5"/>
      <c r="C14" s="5"/>
      <c r="D14" s="5"/>
      <c r="E14" s="5" t="s">
        <v>48</v>
      </c>
      <c r="F14" s="10" t="s">
        <v>295</v>
      </c>
      <c r="G14" s="5" t="s">
        <v>296</v>
      </c>
      <c r="H14" s="8" t="s">
        <v>19</v>
      </c>
      <c r="I14" s="5"/>
      <c r="J14" s="5"/>
      <c r="K14" s="5"/>
      <c r="L14" s="5"/>
    </row>
    <row r="15" spans="1:12" ht="27.6">
      <c r="A15" s="49" t="s">
        <v>269</v>
      </c>
      <c r="B15" s="5"/>
      <c r="C15" s="5"/>
      <c r="D15" s="5"/>
      <c r="E15" s="5" t="s">
        <v>51</v>
      </c>
      <c r="F15" s="10" t="s">
        <v>297</v>
      </c>
      <c r="G15" s="5" t="s">
        <v>298</v>
      </c>
      <c r="H15" s="8" t="s">
        <v>19</v>
      </c>
      <c r="I15" s="5"/>
      <c r="J15" s="5"/>
      <c r="K15" s="5"/>
      <c r="L15" s="5"/>
    </row>
    <row r="16" spans="1:12" ht="28.9">
      <c r="A16" s="49" t="s">
        <v>269</v>
      </c>
      <c r="B16" s="5"/>
      <c r="C16" s="5"/>
      <c r="D16" s="5"/>
      <c r="E16" s="5" t="s">
        <v>56</v>
      </c>
      <c r="F16" s="10" t="s">
        <v>299</v>
      </c>
      <c r="G16" s="5" t="s">
        <v>300</v>
      </c>
      <c r="H16" s="8" t="s">
        <v>19</v>
      </c>
      <c r="I16" s="5"/>
      <c r="J16" s="5"/>
      <c r="K16" s="5"/>
      <c r="L16" s="5"/>
    </row>
    <row r="17" spans="1:12" ht="28.9">
      <c r="A17" s="49" t="s">
        <v>269</v>
      </c>
      <c r="B17" s="5"/>
      <c r="C17" s="5"/>
      <c r="D17" s="5"/>
      <c r="E17" s="5" t="s">
        <v>59</v>
      </c>
      <c r="F17" s="10" t="s">
        <v>301</v>
      </c>
      <c r="G17" s="5" t="s">
        <v>302</v>
      </c>
      <c r="H17" s="8" t="s">
        <v>19</v>
      </c>
      <c r="I17" s="5"/>
      <c r="J17" s="5"/>
      <c r="K17" s="5"/>
      <c r="L17" s="5"/>
    </row>
    <row r="18" spans="1:12">
      <c r="A18" s="49" t="s">
        <v>269</v>
      </c>
      <c r="B18" s="5"/>
      <c r="C18" s="5"/>
      <c r="D18" s="5"/>
      <c r="E18" s="5" t="s">
        <v>62</v>
      </c>
      <c r="F18" s="11" t="s">
        <v>303</v>
      </c>
      <c r="G18" s="5" t="s">
        <v>304</v>
      </c>
      <c r="H18" s="8" t="s">
        <v>19</v>
      </c>
      <c r="I18" s="5"/>
      <c r="J18" s="5"/>
      <c r="K18" s="5"/>
      <c r="L18" s="5"/>
    </row>
    <row r="19" spans="1:12" ht="27.6">
      <c r="A19" s="49" t="s">
        <v>269</v>
      </c>
      <c r="B19" s="5"/>
      <c r="C19" s="5"/>
      <c r="D19" s="5"/>
      <c r="E19" s="5" t="s">
        <v>65</v>
      </c>
      <c r="F19" s="11" t="s">
        <v>305</v>
      </c>
      <c r="G19" s="5" t="s">
        <v>306</v>
      </c>
      <c r="H19" s="8" t="s">
        <v>19</v>
      </c>
      <c r="I19" s="5"/>
      <c r="J19" s="5"/>
      <c r="K19" s="5"/>
      <c r="L19" s="5"/>
    </row>
    <row r="20" spans="1:12" ht="27.6">
      <c r="A20" s="49" t="s">
        <v>269</v>
      </c>
      <c r="B20" s="5"/>
      <c r="C20" s="5"/>
      <c r="D20" s="5"/>
      <c r="E20" s="5" t="s">
        <v>68</v>
      </c>
      <c r="F20" s="10" t="s">
        <v>307</v>
      </c>
      <c r="G20" s="5" t="s">
        <v>308</v>
      </c>
      <c r="H20" s="8" t="s">
        <v>19</v>
      </c>
      <c r="I20" s="5"/>
      <c r="J20" s="5"/>
      <c r="K20" s="5"/>
      <c r="L20" s="5"/>
    </row>
    <row r="21" spans="1:12">
      <c r="A21" s="49" t="s">
        <v>269</v>
      </c>
      <c r="B21" s="5"/>
      <c r="C21" s="5"/>
      <c r="D21" s="5"/>
      <c r="E21" s="5" t="s">
        <v>71</v>
      </c>
      <c r="F21" s="10" t="s">
        <v>309</v>
      </c>
      <c r="G21" s="5" t="s">
        <v>310</v>
      </c>
      <c r="H21" s="8" t="s">
        <v>19</v>
      </c>
      <c r="I21" s="5"/>
      <c r="J21" s="5"/>
      <c r="K21" s="5"/>
      <c r="L21" s="5"/>
    </row>
    <row r="22" spans="1:12" ht="27.6">
      <c r="A22" s="49" t="s">
        <v>269</v>
      </c>
      <c r="B22" s="5"/>
      <c r="C22" s="5"/>
      <c r="D22" s="5"/>
      <c r="E22" s="5" t="s">
        <v>74</v>
      </c>
      <c r="F22" s="10" t="s">
        <v>311</v>
      </c>
      <c r="G22" s="5" t="s">
        <v>312</v>
      </c>
      <c r="H22" s="8" t="s">
        <v>19</v>
      </c>
      <c r="I22" s="5"/>
      <c r="J22" s="5"/>
      <c r="K22" s="5"/>
      <c r="L22" s="5"/>
    </row>
    <row r="23" spans="1:12" ht="28.9">
      <c r="A23" s="49" t="s">
        <v>269</v>
      </c>
      <c r="B23" s="5"/>
      <c r="C23" s="5"/>
      <c r="D23" s="5"/>
      <c r="E23" s="5" t="s">
        <v>77</v>
      </c>
      <c r="F23" s="10" t="s">
        <v>313</v>
      </c>
      <c r="G23" s="5" t="s">
        <v>314</v>
      </c>
      <c r="H23" s="8" t="s">
        <v>19</v>
      </c>
      <c r="I23" s="5"/>
      <c r="J23" s="5"/>
      <c r="K23" s="5"/>
      <c r="L23" s="5"/>
    </row>
    <row r="24" spans="1:12" ht="28.9">
      <c r="A24" s="49" t="s">
        <v>269</v>
      </c>
      <c r="B24" s="5"/>
      <c r="C24" s="5"/>
      <c r="D24" s="5"/>
      <c r="E24" s="5" t="s">
        <v>81</v>
      </c>
      <c r="F24" s="10" t="s">
        <v>315</v>
      </c>
      <c r="G24" s="5" t="s">
        <v>316</v>
      </c>
      <c r="H24" s="8" t="s">
        <v>19</v>
      </c>
      <c r="I24" s="5"/>
      <c r="J24" s="5"/>
      <c r="K24" s="5"/>
      <c r="L24" s="5"/>
    </row>
    <row r="25" spans="1:12" ht="27.6">
      <c r="A25" s="49" t="s">
        <v>269</v>
      </c>
      <c r="B25" s="5"/>
      <c r="C25" s="5"/>
      <c r="D25" s="5"/>
      <c r="E25" s="5" t="s">
        <v>84</v>
      </c>
      <c r="F25" s="10" t="s">
        <v>317</v>
      </c>
      <c r="G25" s="5" t="s">
        <v>318</v>
      </c>
      <c r="H25" s="8" t="s">
        <v>19</v>
      </c>
      <c r="I25" s="5"/>
      <c r="J25" s="5"/>
      <c r="K25" s="5"/>
      <c r="L25" s="5"/>
    </row>
    <row r="26" spans="1:12" ht="28.9">
      <c r="A26" s="49" t="s">
        <v>269</v>
      </c>
      <c r="B26" s="5"/>
      <c r="C26" s="5"/>
      <c r="D26" s="5"/>
      <c r="E26" s="5" t="s">
        <v>87</v>
      </c>
      <c r="F26" s="11" t="s">
        <v>319</v>
      </c>
      <c r="G26" s="5" t="s">
        <v>320</v>
      </c>
      <c r="H26" s="8" t="s">
        <v>19</v>
      </c>
      <c r="I26" s="5"/>
      <c r="J26" s="5"/>
      <c r="K26" s="5"/>
      <c r="L26" s="5"/>
    </row>
    <row r="27" spans="1:12" ht="27.6">
      <c r="A27" s="49" t="s">
        <v>269</v>
      </c>
      <c r="B27" s="5"/>
      <c r="C27" s="5"/>
      <c r="D27" s="5"/>
      <c r="E27" s="5" t="s">
        <v>90</v>
      </c>
      <c r="F27" s="11" t="s">
        <v>321</v>
      </c>
      <c r="G27" s="5" t="s">
        <v>322</v>
      </c>
      <c r="H27" s="8" t="s">
        <v>19</v>
      </c>
      <c r="I27" s="5"/>
      <c r="J27" s="5"/>
      <c r="K27" s="5"/>
      <c r="L27" s="5"/>
    </row>
    <row r="28" spans="1:12" ht="129.6">
      <c r="A28" s="49" t="s">
        <v>323</v>
      </c>
      <c r="B28" s="4" t="s">
        <v>324</v>
      </c>
      <c r="C28" s="4"/>
      <c r="D28" s="4"/>
      <c r="E28" s="4"/>
      <c r="F28" s="14" t="s">
        <v>325</v>
      </c>
      <c r="G28" s="4" t="s">
        <v>326</v>
      </c>
      <c r="H28" s="4"/>
      <c r="I28" s="4"/>
      <c r="J28" s="4"/>
      <c r="K28" s="12"/>
      <c r="L28" s="12"/>
    </row>
    <row r="29" spans="1:12" ht="43.15">
      <c r="A29" s="49" t="s">
        <v>323</v>
      </c>
      <c r="B29" s="1"/>
      <c r="C29" s="1"/>
      <c r="D29" s="1"/>
      <c r="E29" s="5" t="s">
        <v>93</v>
      </c>
      <c r="F29" s="11" t="s">
        <v>327</v>
      </c>
      <c r="G29" s="5" t="s">
        <v>328</v>
      </c>
      <c r="H29" s="8" t="s">
        <v>19</v>
      </c>
      <c r="I29" s="5"/>
      <c r="J29" s="5"/>
      <c r="K29" s="5"/>
      <c r="L29" s="5"/>
    </row>
    <row r="30" spans="1:12" ht="28.9">
      <c r="A30" s="49" t="s">
        <v>323</v>
      </c>
      <c r="B30" s="1"/>
      <c r="C30" s="1"/>
      <c r="D30" s="1"/>
      <c r="E30" s="5" t="s">
        <v>96</v>
      </c>
      <c r="F30" s="11" t="s">
        <v>329</v>
      </c>
      <c r="G30" s="5" t="s">
        <v>330</v>
      </c>
      <c r="H30" s="8" t="s">
        <v>19</v>
      </c>
      <c r="I30" s="5"/>
      <c r="J30" s="5"/>
      <c r="K30" s="5"/>
      <c r="L30" s="5"/>
    </row>
    <row r="31" spans="1:12" ht="28.9">
      <c r="A31" s="49" t="s">
        <v>323</v>
      </c>
      <c r="B31" s="1"/>
      <c r="C31" s="1"/>
      <c r="D31" s="1"/>
      <c r="E31" s="5" t="s">
        <v>99</v>
      </c>
      <c r="F31" s="11" t="s">
        <v>331</v>
      </c>
      <c r="G31" s="5" t="s">
        <v>332</v>
      </c>
      <c r="H31" s="8" t="s">
        <v>19</v>
      </c>
      <c r="I31" s="5"/>
      <c r="J31" s="5"/>
      <c r="K31" s="5"/>
      <c r="L31" s="5"/>
    </row>
    <row r="32" spans="1:12" ht="28.9">
      <c r="A32" s="49" t="s">
        <v>323</v>
      </c>
      <c r="B32" s="1"/>
      <c r="C32" s="1"/>
      <c r="D32" s="1"/>
      <c r="E32" s="5" t="s">
        <v>102</v>
      </c>
      <c r="F32" s="11" t="s">
        <v>333</v>
      </c>
      <c r="G32" s="5" t="s">
        <v>334</v>
      </c>
      <c r="H32" s="8" t="s">
        <v>19</v>
      </c>
      <c r="I32" s="5"/>
      <c r="J32" s="5"/>
      <c r="K32" s="5"/>
      <c r="L32" s="5"/>
    </row>
    <row r="33" spans="1:12" ht="43.15">
      <c r="A33" s="49" t="s">
        <v>323</v>
      </c>
      <c r="B33" s="1"/>
      <c r="C33" s="1"/>
      <c r="D33" s="1"/>
      <c r="E33" s="5" t="s">
        <v>105</v>
      </c>
      <c r="F33" s="11" t="s">
        <v>335</v>
      </c>
      <c r="G33" s="5" t="s">
        <v>336</v>
      </c>
      <c r="H33" s="8" t="s">
        <v>19</v>
      </c>
      <c r="I33" s="5"/>
      <c r="J33" s="5"/>
      <c r="K33" s="5"/>
      <c r="L33" s="5"/>
    </row>
    <row r="34" spans="1:12" ht="28.9">
      <c r="A34" s="49" t="s">
        <v>323</v>
      </c>
      <c r="B34" s="1"/>
      <c r="C34" s="1"/>
      <c r="D34" s="1"/>
      <c r="E34" s="5" t="s">
        <v>110</v>
      </c>
      <c r="F34" s="11" t="s">
        <v>337</v>
      </c>
      <c r="G34" s="5" t="s">
        <v>338</v>
      </c>
      <c r="H34" s="8" t="s">
        <v>19</v>
      </c>
      <c r="I34" s="5"/>
      <c r="J34" s="5"/>
      <c r="K34" s="5"/>
      <c r="L34" s="5"/>
    </row>
    <row r="35" spans="1:12" ht="28.9">
      <c r="A35" s="49" t="s">
        <v>323</v>
      </c>
      <c r="B35" s="1"/>
      <c r="C35" s="1"/>
      <c r="D35" s="1"/>
      <c r="E35" s="5" t="s">
        <v>111</v>
      </c>
      <c r="F35" s="11" t="s">
        <v>339</v>
      </c>
      <c r="G35" s="5" t="s">
        <v>340</v>
      </c>
      <c r="H35" s="8" t="s">
        <v>19</v>
      </c>
      <c r="I35" s="5"/>
      <c r="J35" s="5"/>
      <c r="K35" s="5"/>
      <c r="L35" s="5"/>
    </row>
    <row r="36" spans="1:12" ht="28.9">
      <c r="A36" s="49" t="s">
        <v>323</v>
      </c>
      <c r="B36" s="1"/>
      <c r="C36" s="1"/>
      <c r="D36" s="1"/>
      <c r="E36" s="5" t="s">
        <v>112</v>
      </c>
      <c r="F36" s="11" t="s">
        <v>341</v>
      </c>
      <c r="G36" s="5" t="s">
        <v>342</v>
      </c>
      <c r="H36" s="8" t="s">
        <v>19</v>
      </c>
      <c r="I36" s="5"/>
      <c r="J36" s="5"/>
      <c r="K36" s="5"/>
      <c r="L36" s="5"/>
    </row>
    <row r="37" spans="1:12" ht="28.9">
      <c r="A37" s="49" t="s">
        <v>323</v>
      </c>
      <c r="B37" s="1"/>
      <c r="C37" s="1"/>
      <c r="D37" s="1"/>
      <c r="E37" s="5" t="s">
        <v>113</v>
      </c>
      <c r="F37" s="11" t="s">
        <v>343</v>
      </c>
      <c r="G37" s="5" t="s">
        <v>344</v>
      </c>
      <c r="H37" s="8" t="s">
        <v>19</v>
      </c>
      <c r="I37" s="5"/>
      <c r="J37" s="5"/>
      <c r="K37" s="5"/>
      <c r="L37" s="5"/>
    </row>
    <row r="38" spans="1:12" ht="28.9">
      <c r="A38" s="49" t="s">
        <v>323</v>
      </c>
      <c r="B38" s="1"/>
      <c r="C38" s="1"/>
      <c r="D38" s="1"/>
      <c r="E38" s="5" t="s">
        <v>114</v>
      </c>
      <c r="F38" s="11" t="s">
        <v>345</v>
      </c>
      <c r="G38" s="5" t="s">
        <v>346</v>
      </c>
      <c r="H38" s="8" t="s">
        <v>19</v>
      </c>
      <c r="I38" s="5"/>
      <c r="J38" s="5"/>
      <c r="K38" s="5"/>
      <c r="L38" s="5"/>
    </row>
    <row r="39" spans="1:12" ht="43.15">
      <c r="A39" s="49" t="s">
        <v>323</v>
      </c>
      <c r="B39" s="1"/>
      <c r="C39" s="1"/>
      <c r="D39" s="1"/>
      <c r="E39" s="5" t="s">
        <v>115</v>
      </c>
      <c r="F39" s="11" t="s">
        <v>347</v>
      </c>
      <c r="G39" s="5" t="s">
        <v>348</v>
      </c>
      <c r="H39" s="8" t="s">
        <v>19</v>
      </c>
      <c r="I39" s="5"/>
      <c r="J39" s="5"/>
      <c r="K39" s="5"/>
      <c r="L39" s="5"/>
    </row>
    <row r="40" spans="1:12" ht="28.9">
      <c r="A40" s="49" t="s">
        <v>349</v>
      </c>
      <c r="B40" s="1"/>
      <c r="C40" s="1"/>
      <c r="D40" s="1"/>
      <c r="E40" s="5" t="s">
        <v>116</v>
      </c>
      <c r="F40" s="11" t="s">
        <v>350</v>
      </c>
      <c r="G40" s="5" t="s">
        <v>351</v>
      </c>
      <c r="H40" s="8" t="s">
        <v>19</v>
      </c>
      <c r="I40" s="5"/>
      <c r="J40" s="5"/>
      <c r="K40" s="5"/>
      <c r="L40" s="5"/>
    </row>
    <row r="41" spans="1:12" ht="28.9">
      <c r="A41" s="49" t="s">
        <v>352</v>
      </c>
      <c r="B41" s="1"/>
      <c r="C41" s="1"/>
      <c r="D41" s="1"/>
      <c r="E41" s="5" t="s">
        <v>117</v>
      </c>
      <c r="F41" s="11" t="s">
        <v>353</v>
      </c>
      <c r="G41" s="5" t="s">
        <v>354</v>
      </c>
      <c r="H41" s="8" t="s">
        <v>19</v>
      </c>
      <c r="I41" s="1"/>
      <c r="J41" s="5"/>
      <c r="K41" s="1"/>
      <c r="L41" s="1"/>
    </row>
    <row r="42" spans="1:12" ht="28.9">
      <c r="A42" s="49" t="s">
        <v>355</v>
      </c>
      <c r="B42" s="1"/>
      <c r="C42" s="1"/>
      <c r="D42" s="1"/>
      <c r="E42" s="5" t="s">
        <v>118</v>
      </c>
      <c r="F42" s="11" t="s">
        <v>356</v>
      </c>
      <c r="G42" s="5" t="s">
        <v>357</v>
      </c>
      <c r="H42" s="8" t="s">
        <v>19</v>
      </c>
      <c r="I42" s="1"/>
      <c r="J42" s="5"/>
      <c r="K42" s="1"/>
      <c r="L42" s="1"/>
    </row>
    <row r="47" spans="1:12">
      <c r="H47"/>
    </row>
    <row r="48" spans="1:12">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row r="60" spans="8:8">
      <c r="H60"/>
    </row>
    <row r="61" spans="8:8">
      <c r="H61"/>
    </row>
    <row r="62" spans="8:8">
      <c r="H62"/>
    </row>
    <row r="1048571" spans="2:2">
      <c r="B1048571" s="7"/>
    </row>
    <row r="1048572" spans="2:2">
      <c r="B1048572" s="7"/>
    </row>
  </sheetData>
  <phoneticPr fontId="1" type="noConversion"/>
  <conditionalFormatting sqref="H1:H27 H29:H42 H63:H113">
    <cfRule type="cellIs" dxfId="39" priority="36" stopIfTrue="1" operator="equal">
      <formula>"Deferred"</formula>
    </cfRule>
    <cfRule type="cellIs" dxfId="38" priority="37" operator="equal">
      <formula>"Not Applicable"</formula>
    </cfRule>
    <cfRule type="cellIs" dxfId="37" priority="38" operator="equal">
      <formula>"Pass"</formula>
    </cfRule>
    <cfRule type="cellIs" dxfId="36" priority="39" operator="equal">
      <formula>"Fail"</formula>
    </cfRule>
    <cfRule type="cellIs" dxfId="35" priority="40" operator="equal">
      <formula>"In progress"</formula>
    </cfRule>
  </conditionalFormatting>
  <dataValidations count="2">
    <dataValidation type="list" allowBlank="1" showInputMessage="1" showErrorMessage="1" sqref="H4:H27 H29:H42" xr:uid="{84A6791C-76FF-4A65-9FC7-E8CB9B510123}">
      <formula1>"Pass,Fail,Deferred,Not Valid,Not Applicable,In Progress,No Run"</formula1>
    </dataValidation>
    <dataValidation type="list" allowBlank="1" showInputMessage="1" showErrorMessage="1" sqref="J3" xr:uid="{A3A8EE1B-C3E1-49E0-BA5D-99578F1B3B81}">
      <formula1>$B$1048533:$B$1048576</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EC695A6-6029-4504-9C7A-E3D5F9A8DF88}">
          <x14:formula1>
            <xm:f>'Case install'!$B$1048553:$B$1048576</xm:f>
          </x14:formula1>
          <xm:sqref>J4:J27 J29:J42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B764-69DD-4D88-A757-18B832E32745}">
  <dimension ref="A1:L76"/>
  <sheetViews>
    <sheetView workbookViewId="0">
      <pane ySplit="1" topLeftCell="A12" activePane="bottomLeft" state="frozen"/>
      <selection pane="bottomLeft" activeCell="B17" sqref="B17"/>
    </sheetView>
  </sheetViews>
  <sheetFormatPr defaultColWidth="35.42578125" defaultRowHeight="14.45"/>
  <cols>
    <col min="1" max="1" width="16.5703125" customWidth="1"/>
    <col min="2" max="2" width="31.28515625" bestFit="1" customWidth="1"/>
    <col min="3" max="4" width="8.7109375" bestFit="1" customWidth="1"/>
    <col min="5" max="5" width="5.140625" bestFit="1" customWidth="1"/>
    <col min="6" max="6" width="34.7109375" bestFit="1" customWidth="1"/>
    <col min="7" max="7" width="47.7109375" customWidth="1"/>
    <col min="8" max="8" width="8.42578125" style="7" bestFit="1" customWidth="1"/>
    <col min="9" max="9" width="11.28515625" bestFit="1" customWidth="1"/>
    <col min="10" max="11" width="11.85546875" bestFit="1" customWidth="1"/>
    <col min="12" max="12" width="15.7109375" bestFit="1" customWidth="1"/>
  </cols>
  <sheetData>
    <row r="1" spans="1:12" ht="43.15">
      <c r="A1" s="2" t="s">
        <v>0</v>
      </c>
      <c r="B1" s="2" t="s">
        <v>1</v>
      </c>
      <c r="C1" s="2" t="s">
        <v>2</v>
      </c>
      <c r="D1" s="2" t="s">
        <v>3</v>
      </c>
      <c r="E1" s="2" t="s">
        <v>4</v>
      </c>
      <c r="F1" s="2" t="s">
        <v>5</v>
      </c>
      <c r="G1" s="2" t="s">
        <v>6</v>
      </c>
      <c r="H1" s="2" t="s">
        <v>7</v>
      </c>
      <c r="I1" s="2" t="s">
        <v>8</v>
      </c>
      <c r="J1" s="2" t="s">
        <v>9</v>
      </c>
      <c r="K1" s="2" t="s">
        <v>10</v>
      </c>
      <c r="L1" s="2" t="s">
        <v>11</v>
      </c>
    </row>
    <row r="2" spans="1:12" ht="216">
      <c r="A2" s="49" t="s">
        <v>358</v>
      </c>
      <c r="B2" s="4" t="s">
        <v>358</v>
      </c>
      <c r="C2" s="4"/>
      <c r="D2" s="4"/>
      <c r="E2" s="4"/>
      <c r="F2" s="17" t="s">
        <v>359</v>
      </c>
      <c r="G2" s="17" t="s">
        <v>360</v>
      </c>
      <c r="H2" s="4"/>
      <c r="I2" s="4"/>
      <c r="J2" s="4"/>
      <c r="K2" s="4"/>
      <c r="L2" s="4"/>
    </row>
    <row r="3" spans="1:12" ht="28.9">
      <c r="A3" s="49" t="s">
        <v>358</v>
      </c>
      <c r="B3" s="5"/>
      <c r="C3" s="5"/>
      <c r="D3" s="5"/>
      <c r="E3" s="5" t="s">
        <v>16</v>
      </c>
      <c r="F3" s="15" t="s">
        <v>361</v>
      </c>
      <c r="G3" s="5" t="s">
        <v>362</v>
      </c>
      <c r="H3" s="8" t="s">
        <v>19</v>
      </c>
      <c r="I3" s="5"/>
      <c r="J3" s="5" t="s">
        <v>268</v>
      </c>
      <c r="K3" s="5"/>
      <c r="L3" s="5"/>
    </row>
    <row r="4" spans="1:12" ht="41.45">
      <c r="A4" s="49" t="s">
        <v>358</v>
      </c>
      <c r="B4" s="5"/>
      <c r="C4" s="5"/>
      <c r="D4" s="5"/>
      <c r="E4" s="5" t="s">
        <v>21</v>
      </c>
      <c r="F4" s="15" t="s">
        <v>363</v>
      </c>
      <c r="G4" s="5" t="s">
        <v>364</v>
      </c>
      <c r="H4" s="8" t="s">
        <v>19</v>
      </c>
      <c r="I4" s="5"/>
      <c r="J4" s="5"/>
      <c r="K4" s="5"/>
      <c r="L4" s="5"/>
    </row>
    <row r="5" spans="1:12" ht="27.6">
      <c r="A5" s="49" t="s">
        <v>358</v>
      </c>
      <c r="B5" s="5"/>
      <c r="C5" s="5"/>
      <c r="D5" s="5"/>
      <c r="E5" s="5" t="s">
        <v>24</v>
      </c>
      <c r="F5" s="15" t="s">
        <v>365</v>
      </c>
      <c r="G5" s="5" t="s">
        <v>366</v>
      </c>
      <c r="H5" s="8" t="s">
        <v>19</v>
      </c>
      <c r="I5" s="5"/>
      <c r="J5" s="5"/>
      <c r="K5" s="5"/>
      <c r="L5" s="5"/>
    </row>
    <row r="6" spans="1:12" ht="28.9">
      <c r="A6" s="49" t="s">
        <v>358</v>
      </c>
      <c r="B6" s="5"/>
      <c r="C6" s="5"/>
      <c r="D6" s="5"/>
      <c r="E6" s="5" t="s">
        <v>27</v>
      </c>
      <c r="F6" s="15" t="s">
        <v>367</v>
      </c>
      <c r="G6" s="5" t="s">
        <v>368</v>
      </c>
      <c r="H6" s="8" t="s">
        <v>19</v>
      </c>
      <c r="I6" s="5"/>
      <c r="J6" s="5"/>
      <c r="K6" s="5"/>
      <c r="L6" s="5"/>
    </row>
    <row r="7" spans="1:12" ht="41.45">
      <c r="A7" s="49" t="s">
        <v>358</v>
      </c>
      <c r="B7" s="5"/>
      <c r="C7" s="5"/>
      <c r="D7" s="5"/>
      <c r="E7" s="5" t="s">
        <v>30</v>
      </c>
      <c r="F7" s="15" t="s">
        <v>369</v>
      </c>
      <c r="G7" s="5" t="s">
        <v>370</v>
      </c>
      <c r="H7" s="8" t="s">
        <v>19</v>
      </c>
      <c r="I7" s="5"/>
      <c r="J7" s="5"/>
      <c r="K7" s="5"/>
      <c r="L7" s="5"/>
    </row>
    <row r="8" spans="1:12" ht="55.15">
      <c r="A8" s="49" t="s">
        <v>358</v>
      </c>
      <c r="B8" s="5"/>
      <c r="C8" s="5"/>
      <c r="D8" s="5"/>
      <c r="E8" s="5" t="s">
        <v>33</v>
      </c>
      <c r="F8" s="15" t="s">
        <v>371</v>
      </c>
      <c r="G8" s="5" t="s">
        <v>372</v>
      </c>
      <c r="H8" s="8" t="s">
        <v>19</v>
      </c>
      <c r="I8" s="5"/>
      <c r="J8" s="5"/>
      <c r="K8" s="5"/>
      <c r="L8" s="5"/>
    </row>
    <row r="9" spans="1:12" ht="55.15">
      <c r="A9" s="49" t="s">
        <v>358</v>
      </c>
      <c r="B9" s="5"/>
      <c r="C9" s="5"/>
      <c r="D9" s="5"/>
      <c r="E9" s="5" t="s">
        <v>36</v>
      </c>
      <c r="F9" s="15" t="s">
        <v>373</v>
      </c>
      <c r="G9" s="5" t="s">
        <v>374</v>
      </c>
      <c r="H9" s="8" t="s">
        <v>19</v>
      </c>
      <c r="I9" s="5"/>
      <c r="J9" s="5"/>
      <c r="K9" s="5"/>
      <c r="L9" s="5"/>
    </row>
    <row r="10" spans="1:12" ht="96">
      <c r="A10" s="49" t="s">
        <v>375</v>
      </c>
      <c r="B10" s="4" t="s">
        <v>376</v>
      </c>
      <c r="C10" s="4"/>
      <c r="D10" s="4"/>
      <c r="E10" s="4"/>
      <c r="F10" s="9" t="s">
        <v>377</v>
      </c>
      <c r="G10" s="9" t="s">
        <v>378</v>
      </c>
      <c r="H10" s="4"/>
      <c r="I10" s="4"/>
      <c r="J10" s="4"/>
      <c r="K10" s="4"/>
      <c r="L10" s="4"/>
    </row>
    <row r="11" spans="1:12" ht="41.45">
      <c r="A11" s="49" t="s">
        <v>375</v>
      </c>
      <c r="B11" s="5"/>
      <c r="C11" s="5"/>
      <c r="D11" s="5"/>
      <c r="E11" s="5" t="s">
        <v>39</v>
      </c>
      <c r="F11" s="15" t="s">
        <v>379</v>
      </c>
      <c r="G11" s="5" t="s">
        <v>380</v>
      </c>
      <c r="H11" s="8" t="s">
        <v>19</v>
      </c>
      <c r="I11" s="5"/>
      <c r="J11" s="5" t="s">
        <v>268</v>
      </c>
      <c r="K11" s="5"/>
      <c r="L11" s="5"/>
    </row>
    <row r="12" spans="1:12" ht="43.15">
      <c r="A12" s="49" t="s">
        <v>375</v>
      </c>
      <c r="B12" s="5"/>
      <c r="C12" s="5"/>
      <c r="D12" s="5"/>
      <c r="E12" s="5" t="s">
        <v>42</v>
      </c>
      <c r="F12" s="16" t="s">
        <v>381</v>
      </c>
      <c r="G12" s="5" t="s">
        <v>382</v>
      </c>
      <c r="H12" s="8" t="s">
        <v>19</v>
      </c>
      <c r="I12" s="5"/>
      <c r="J12" s="5" t="s">
        <v>268</v>
      </c>
      <c r="K12" s="5"/>
      <c r="L12" s="5"/>
    </row>
    <row r="13" spans="1:12" ht="57.6">
      <c r="A13" s="49" t="s">
        <v>375</v>
      </c>
      <c r="B13" s="5"/>
      <c r="C13" s="5"/>
      <c r="D13" s="5"/>
      <c r="E13" s="5" t="s">
        <v>45</v>
      </c>
      <c r="F13" s="16" t="s">
        <v>383</v>
      </c>
      <c r="G13" s="5" t="s">
        <v>384</v>
      </c>
      <c r="H13" s="8" t="s">
        <v>19</v>
      </c>
      <c r="I13" s="5"/>
      <c r="J13" s="5" t="s">
        <v>268</v>
      </c>
      <c r="K13" s="5"/>
      <c r="L13" s="5"/>
    </row>
    <row r="14" spans="1:12" ht="28.9">
      <c r="A14" s="49" t="s">
        <v>375</v>
      </c>
      <c r="B14" s="5"/>
      <c r="C14" s="5"/>
      <c r="D14" s="5"/>
      <c r="E14" s="5" t="s">
        <v>48</v>
      </c>
      <c r="F14" s="16" t="s">
        <v>385</v>
      </c>
      <c r="G14" s="5" t="s">
        <v>386</v>
      </c>
      <c r="H14" s="8" t="s">
        <v>19</v>
      </c>
      <c r="I14" s="5"/>
      <c r="J14" s="5" t="s">
        <v>268</v>
      </c>
      <c r="K14" s="5"/>
      <c r="L14" s="5"/>
    </row>
    <row r="15" spans="1:12" ht="28.9">
      <c r="A15" s="49" t="s">
        <v>375</v>
      </c>
      <c r="B15" s="5"/>
      <c r="C15" s="5"/>
      <c r="D15" s="5"/>
      <c r="E15" s="5" t="s">
        <v>51</v>
      </c>
      <c r="F15" s="16" t="s">
        <v>387</v>
      </c>
      <c r="G15" s="5" t="s">
        <v>388</v>
      </c>
      <c r="H15" s="8" t="s">
        <v>19</v>
      </c>
      <c r="I15" s="5"/>
      <c r="J15" s="5" t="s">
        <v>268</v>
      </c>
      <c r="K15" s="5"/>
      <c r="L15" s="5"/>
    </row>
    <row r="16" spans="1:12" ht="28.9">
      <c r="A16" s="49" t="s">
        <v>375</v>
      </c>
      <c r="B16" s="5"/>
      <c r="C16" s="5"/>
      <c r="D16" s="5"/>
      <c r="E16" s="5" t="s">
        <v>56</v>
      </c>
      <c r="F16" s="16" t="s">
        <v>389</v>
      </c>
      <c r="G16" s="5" t="s">
        <v>390</v>
      </c>
      <c r="H16" s="8" t="s">
        <v>19</v>
      </c>
      <c r="I16" s="5"/>
      <c r="J16" s="5" t="s">
        <v>268</v>
      </c>
      <c r="K16" s="5"/>
      <c r="L16" s="5"/>
    </row>
    <row r="17" spans="1:12" ht="41.45">
      <c r="A17" s="49" t="s">
        <v>391</v>
      </c>
      <c r="B17" s="4" t="s">
        <v>391</v>
      </c>
      <c r="C17" s="5"/>
      <c r="D17" s="5"/>
      <c r="E17" s="5" t="s">
        <v>59</v>
      </c>
      <c r="F17" s="10" t="s">
        <v>392</v>
      </c>
      <c r="G17" s="5" t="s">
        <v>393</v>
      </c>
      <c r="H17" s="8" t="s">
        <v>19</v>
      </c>
      <c r="I17" s="5"/>
      <c r="J17" s="5" t="s">
        <v>268</v>
      </c>
      <c r="K17" s="5"/>
      <c r="L17" s="5"/>
    </row>
    <row r="18" spans="1:12" ht="41.45">
      <c r="A18" s="49" t="s">
        <v>394</v>
      </c>
      <c r="B18" s="4" t="s">
        <v>394</v>
      </c>
      <c r="C18" s="5"/>
      <c r="D18" s="5"/>
      <c r="E18" s="5" t="s">
        <v>62</v>
      </c>
      <c r="F18" s="10" t="s">
        <v>395</v>
      </c>
      <c r="G18" s="5" t="s">
        <v>396</v>
      </c>
      <c r="H18" s="8" t="s">
        <v>19</v>
      </c>
      <c r="I18" s="5"/>
      <c r="J18" s="5" t="s">
        <v>268</v>
      </c>
      <c r="K18" s="5"/>
      <c r="L18" s="5"/>
    </row>
    <row r="19" spans="1:12" ht="192">
      <c r="A19" s="49" t="s">
        <v>397</v>
      </c>
      <c r="B19" s="4" t="s">
        <v>398</v>
      </c>
      <c r="C19" s="4"/>
      <c r="D19" s="4"/>
      <c r="E19" s="4"/>
      <c r="F19" s="20" t="s">
        <v>399</v>
      </c>
      <c r="G19" s="20" t="s">
        <v>400</v>
      </c>
      <c r="H19" s="4"/>
      <c r="I19" s="4"/>
      <c r="J19" s="4"/>
      <c r="K19" s="4"/>
      <c r="L19" s="4"/>
    </row>
    <row r="20" spans="1:12" ht="43.15">
      <c r="A20" s="49" t="s">
        <v>397</v>
      </c>
      <c r="B20" s="5"/>
      <c r="C20" s="5"/>
      <c r="D20" s="5"/>
      <c r="E20" s="5" t="s">
        <v>65</v>
      </c>
      <c r="F20" s="5" t="s">
        <v>401</v>
      </c>
      <c r="G20" s="5" t="s">
        <v>402</v>
      </c>
      <c r="H20" s="8" t="s">
        <v>19</v>
      </c>
      <c r="I20" s="5"/>
      <c r="J20" s="5" t="s">
        <v>268</v>
      </c>
      <c r="K20" s="5"/>
      <c r="L20" s="5"/>
    </row>
    <row r="21" spans="1:12" ht="28.9">
      <c r="A21" s="49" t="s">
        <v>397</v>
      </c>
      <c r="B21" s="5"/>
      <c r="C21" s="5"/>
      <c r="D21" s="5"/>
      <c r="E21" s="5" t="s">
        <v>68</v>
      </c>
      <c r="F21" s="5" t="s">
        <v>403</v>
      </c>
      <c r="G21" s="5" t="s">
        <v>404</v>
      </c>
      <c r="H21" s="8" t="s">
        <v>19</v>
      </c>
      <c r="I21" s="5"/>
      <c r="J21" s="5" t="s">
        <v>268</v>
      </c>
      <c r="K21" s="5"/>
      <c r="L21" s="5"/>
    </row>
    <row r="22" spans="1:12" ht="28.9">
      <c r="A22" s="49" t="s">
        <v>397</v>
      </c>
      <c r="B22" s="5"/>
      <c r="C22" s="5"/>
      <c r="D22" s="5"/>
      <c r="E22" s="5" t="s">
        <v>71</v>
      </c>
      <c r="F22" s="5" t="s">
        <v>405</v>
      </c>
      <c r="G22" s="5" t="s">
        <v>406</v>
      </c>
      <c r="H22" s="8" t="s">
        <v>19</v>
      </c>
      <c r="I22" s="5"/>
      <c r="J22" s="5" t="s">
        <v>268</v>
      </c>
      <c r="K22" s="5"/>
      <c r="L22" s="5"/>
    </row>
    <row r="23" spans="1:12" ht="43.15">
      <c r="A23" s="49" t="s">
        <v>397</v>
      </c>
      <c r="B23" s="5"/>
      <c r="C23" s="5"/>
      <c r="D23" s="5"/>
      <c r="E23" s="5" t="s">
        <v>74</v>
      </c>
      <c r="F23" s="5" t="s">
        <v>407</v>
      </c>
      <c r="G23" s="5" t="s">
        <v>408</v>
      </c>
      <c r="H23" s="8" t="s">
        <v>19</v>
      </c>
      <c r="I23" s="5"/>
      <c r="J23" s="5" t="s">
        <v>268</v>
      </c>
      <c r="K23" s="5"/>
      <c r="L23" s="5"/>
    </row>
    <row r="24" spans="1:12" ht="57.6">
      <c r="A24" s="49" t="s">
        <v>397</v>
      </c>
      <c r="B24" s="5"/>
      <c r="C24" s="5"/>
      <c r="D24" s="5"/>
      <c r="E24" s="5" t="s">
        <v>77</v>
      </c>
      <c r="F24" s="5" t="s">
        <v>409</v>
      </c>
      <c r="G24" s="5" t="s">
        <v>410</v>
      </c>
      <c r="H24" s="8" t="s">
        <v>19</v>
      </c>
      <c r="I24" s="5"/>
      <c r="J24" s="5" t="s">
        <v>268</v>
      </c>
      <c r="K24" s="5"/>
      <c r="L24" s="5"/>
    </row>
    <row r="25" spans="1:12" ht="28.9">
      <c r="A25" s="49" t="s">
        <v>411</v>
      </c>
      <c r="B25" s="5"/>
      <c r="C25" s="5"/>
      <c r="D25" s="5"/>
      <c r="E25" s="5" t="s">
        <v>81</v>
      </c>
      <c r="F25" s="5" t="s">
        <v>412</v>
      </c>
      <c r="G25" s="5" t="s">
        <v>413</v>
      </c>
      <c r="H25" s="8" t="s">
        <v>19</v>
      </c>
      <c r="I25" s="5"/>
      <c r="J25" s="5" t="s">
        <v>268</v>
      </c>
      <c r="K25" s="5"/>
      <c r="L25" s="5"/>
    </row>
    <row r="26" spans="1:12" ht="43.15">
      <c r="A26" s="49" t="s">
        <v>411</v>
      </c>
      <c r="B26" s="5"/>
      <c r="C26" s="5"/>
      <c r="D26" s="5"/>
      <c r="E26" s="5" t="s">
        <v>84</v>
      </c>
      <c r="F26" s="5" t="s">
        <v>414</v>
      </c>
      <c r="G26" s="5" t="s">
        <v>413</v>
      </c>
      <c r="H26" s="8" t="s">
        <v>19</v>
      </c>
      <c r="I26" s="5"/>
      <c r="J26" s="5" t="s">
        <v>268</v>
      </c>
      <c r="K26" s="5"/>
      <c r="L26" s="5"/>
    </row>
    <row r="27" spans="1:12">
      <c r="H27"/>
    </row>
    <row r="28" spans="1:12">
      <c r="H28"/>
    </row>
    <row r="29" spans="1:12">
      <c r="H29"/>
    </row>
    <row r="30" spans="1:12">
      <c r="H30"/>
    </row>
    <row r="31" spans="1:12">
      <c r="H31"/>
    </row>
    <row r="32" spans="1:12">
      <c r="H32"/>
    </row>
    <row r="33" spans="8:8">
      <c r="H33"/>
    </row>
    <row r="34" spans="8:8">
      <c r="H34"/>
    </row>
    <row r="35" spans="8:8">
      <c r="H35"/>
    </row>
    <row r="36" spans="8:8">
      <c r="H36"/>
    </row>
    <row r="37" spans="8:8">
      <c r="H37"/>
    </row>
    <row r="38" spans="8:8">
      <c r="H38"/>
    </row>
    <row r="39" spans="8:8">
      <c r="H39"/>
    </row>
    <row r="40" spans="8:8">
      <c r="H40"/>
    </row>
    <row r="41" spans="8:8">
      <c r="H41"/>
    </row>
    <row r="42" spans="8:8">
      <c r="H42"/>
    </row>
    <row r="43" spans="8:8">
      <c r="H43"/>
    </row>
    <row r="44" spans="8:8">
      <c r="H44"/>
    </row>
    <row r="45" spans="8:8">
      <c r="H45"/>
    </row>
    <row r="46" spans="8:8">
      <c r="H46"/>
    </row>
    <row r="47" spans="8:8">
      <c r="H47"/>
    </row>
    <row r="48" spans="8:8">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row r="60" spans="8:8">
      <c r="H60"/>
    </row>
    <row r="61" spans="8:8">
      <c r="H61"/>
    </row>
    <row r="62" spans="8:8">
      <c r="H62"/>
    </row>
    <row r="63" spans="8:8">
      <c r="H63"/>
    </row>
    <row r="64" spans="8:8">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sheetData>
  <phoneticPr fontId="1" type="noConversion"/>
  <conditionalFormatting sqref="H1:H9 H11:H18 H20:H26 H77:H117">
    <cfRule type="cellIs" dxfId="34" priority="1" stopIfTrue="1" operator="equal">
      <formula>"Deferred"</formula>
    </cfRule>
    <cfRule type="cellIs" dxfId="33" priority="2" operator="equal">
      <formula>"Not Applicable"</formula>
    </cfRule>
    <cfRule type="cellIs" dxfId="32" priority="3" operator="equal">
      <formula>"Pass"</formula>
    </cfRule>
    <cfRule type="cellIs" dxfId="31" priority="4" operator="equal">
      <formula>"Fail"</formula>
    </cfRule>
    <cfRule type="cellIs" dxfId="30" priority="5" operator="equal">
      <formula>"In progress"</formula>
    </cfRule>
  </conditionalFormatting>
  <dataValidations count="2">
    <dataValidation type="list" allowBlank="1" showInputMessage="1" showErrorMessage="1" sqref="H3:H9 H11:H18 H20:H26" xr:uid="{92BDB683-F47A-4EFA-A085-CFB036963B7E}">
      <formula1>"Pass,Fail,Deferred,Not Valid,Not Applicable,In Progress,No Run"</formula1>
    </dataValidation>
    <dataValidation type="list" allowBlank="1" showInputMessage="1" showErrorMessage="1" sqref="J3:J9 J20:J26 J11:J18" xr:uid="{E53E5935-0B42-41F1-906C-3B6F9AD185C2}">
      <formula1>$B$1048575:$B$1048576</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0F7F-0354-44EF-B7A7-055D6DDE2E5D}">
  <dimension ref="A1:L33"/>
  <sheetViews>
    <sheetView workbookViewId="0">
      <pane ySplit="1" topLeftCell="A18" activePane="bottomLeft" state="frozen"/>
      <selection pane="bottomLeft" activeCell="A27" sqref="A27"/>
    </sheetView>
  </sheetViews>
  <sheetFormatPr defaultColWidth="56.140625" defaultRowHeight="14.45"/>
  <cols>
    <col min="1" max="1" width="25.28515625" customWidth="1"/>
    <col min="2" max="2" width="21.7109375" bestFit="1" customWidth="1"/>
    <col min="3" max="4" width="8.7109375" bestFit="1" customWidth="1"/>
    <col min="5" max="5" width="6.5703125" customWidth="1"/>
    <col min="6" max="6" width="52.7109375" bestFit="1" customWidth="1"/>
    <col min="7" max="7" width="46.7109375" bestFit="1" customWidth="1"/>
    <col min="8" max="8" width="8.28515625" bestFit="1" customWidth="1"/>
    <col min="9" max="9" width="11.28515625" bestFit="1" customWidth="1"/>
    <col min="10" max="11" width="11.85546875" bestFit="1" customWidth="1"/>
    <col min="12" max="12" width="15.7109375" bestFit="1" customWidth="1"/>
  </cols>
  <sheetData>
    <row r="1" spans="1:12" ht="28.9" customHeight="1">
      <c r="A1" s="2" t="s">
        <v>0</v>
      </c>
      <c r="B1" s="50" t="s">
        <v>1</v>
      </c>
      <c r="C1" s="50" t="s">
        <v>2</v>
      </c>
      <c r="D1" s="50" t="s">
        <v>3</v>
      </c>
      <c r="E1" s="50" t="s">
        <v>4</v>
      </c>
      <c r="F1" s="50" t="s">
        <v>5</v>
      </c>
      <c r="G1" s="50" t="s">
        <v>6</v>
      </c>
      <c r="H1" s="50" t="s">
        <v>7</v>
      </c>
      <c r="I1" s="50" t="s">
        <v>8</v>
      </c>
      <c r="J1" s="50" t="s">
        <v>9</v>
      </c>
      <c r="K1" s="50" t="s">
        <v>10</v>
      </c>
      <c r="L1" s="50" t="s">
        <v>11</v>
      </c>
    </row>
    <row r="2" spans="1:12" ht="28.9">
      <c r="A2" s="49" t="s">
        <v>415</v>
      </c>
      <c r="B2" s="52" t="s">
        <v>416</v>
      </c>
      <c r="C2" s="52"/>
      <c r="D2" s="52"/>
      <c r="E2" s="52"/>
      <c r="F2" s="52" t="s">
        <v>417</v>
      </c>
      <c r="G2" s="52" t="s">
        <v>418</v>
      </c>
      <c r="H2" s="52"/>
      <c r="I2" s="52"/>
      <c r="J2" s="52"/>
      <c r="K2" s="52"/>
      <c r="L2" s="52"/>
    </row>
    <row r="3" spans="1:12">
      <c r="A3" s="49" t="s">
        <v>415</v>
      </c>
      <c r="B3" s="52"/>
      <c r="C3" s="52"/>
      <c r="D3" s="52"/>
      <c r="E3" s="52"/>
      <c r="F3" s="52" t="s">
        <v>419</v>
      </c>
      <c r="G3" s="52"/>
      <c r="H3" s="52"/>
      <c r="I3" s="52"/>
      <c r="J3" s="52"/>
      <c r="K3" s="52"/>
      <c r="L3" s="52"/>
    </row>
    <row r="4" spans="1:12" ht="28.9">
      <c r="A4" s="49" t="s">
        <v>415</v>
      </c>
      <c r="B4" s="51"/>
      <c r="C4" s="53"/>
      <c r="D4" s="53"/>
      <c r="E4" s="53" t="s">
        <v>16</v>
      </c>
      <c r="F4" s="53" t="s">
        <v>420</v>
      </c>
      <c r="G4" s="53" t="s">
        <v>421</v>
      </c>
      <c r="H4" s="54" t="s">
        <v>19</v>
      </c>
      <c r="I4" s="53"/>
      <c r="J4" s="53"/>
      <c r="K4" s="53"/>
      <c r="L4" s="53"/>
    </row>
    <row r="5" spans="1:12" ht="28.9">
      <c r="A5" s="49" t="s">
        <v>415</v>
      </c>
      <c r="B5" s="53"/>
      <c r="C5" s="53"/>
      <c r="D5" s="53"/>
      <c r="E5" s="53" t="s">
        <v>21</v>
      </c>
      <c r="F5" s="53" t="s">
        <v>422</v>
      </c>
      <c r="G5" s="53" t="s">
        <v>423</v>
      </c>
      <c r="H5" s="54" t="s">
        <v>19</v>
      </c>
      <c r="I5" s="53"/>
      <c r="J5" s="53"/>
      <c r="K5" s="53"/>
      <c r="L5" s="53"/>
    </row>
    <row r="6" spans="1:12" ht="28.9">
      <c r="A6" s="49" t="s">
        <v>415</v>
      </c>
      <c r="B6" s="53"/>
      <c r="C6" s="53"/>
      <c r="D6" s="53"/>
      <c r="E6" s="53" t="s">
        <v>24</v>
      </c>
      <c r="F6" s="53" t="s">
        <v>424</v>
      </c>
      <c r="G6" s="53" t="s">
        <v>425</v>
      </c>
      <c r="H6" s="54" t="s">
        <v>19</v>
      </c>
      <c r="I6" s="53"/>
      <c r="J6" s="53"/>
      <c r="K6" s="53"/>
      <c r="L6" s="53"/>
    </row>
    <row r="7" spans="1:12" ht="28.9">
      <c r="A7" s="49" t="s">
        <v>415</v>
      </c>
      <c r="B7" s="53"/>
      <c r="C7" s="53"/>
      <c r="D7" s="53"/>
      <c r="E7" s="53" t="s">
        <v>27</v>
      </c>
      <c r="F7" s="53" t="s">
        <v>426</v>
      </c>
      <c r="G7" s="53" t="s">
        <v>427</v>
      </c>
      <c r="H7" s="54" t="s">
        <v>19</v>
      </c>
      <c r="I7" s="53"/>
      <c r="J7" s="53"/>
      <c r="K7" s="53"/>
      <c r="L7" s="53"/>
    </row>
    <row r="8" spans="1:12" ht="28.9">
      <c r="A8" s="49" t="s">
        <v>415</v>
      </c>
      <c r="B8" s="53"/>
      <c r="C8" s="53"/>
      <c r="D8" s="53"/>
      <c r="E8" s="53" t="s">
        <v>30</v>
      </c>
      <c r="F8" s="53" t="s">
        <v>428</v>
      </c>
      <c r="G8" s="53" t="s">
        <v>429</v>
      </c>
      <c r="H8" s="54" t="s">
        <v>19</v>
      </c>
      <c r="I8" s="53"/>
      <c r="J8" s="53"/>
      <c r="K8" s="53"/>
      <c r="L8" s="53"/>
    </row>
    <row r="9" spans="1:12" ht="28.9">
      <c r="A9" s="49" t="s">
        <v>415</v>
      </c>
      <c r="B9" s="53"/>
      <c r="C9" s="53"/>
      <c r="D9" s="53"/>
      <c r="E9" s="53" t="s">
        <v>33</v>
      </c>
      <c r="F9" s="53" t="s">
        <v>430</v>
      </c>
      <c r="G9" s="53" t="s">
        <v>431</v>
      </c>
      <c r="H9" s="54" t="s">
        <v>19</v>
      </c>
      <c r="I9" s="53"/>
      <c r="J9" s="53"/>
      <c r="K9" s="53"/>
      <c r="L9" s="53"/>
    </row>
    <row r="10" spans="1:12" ht="28.9">
      <c r="A10" s="49" t="s">
        <v>415</v>
      </c>
      <c r="B10" s="53"/>
      <c r="C10" s="53"/>
      <c r="D10" s="53"/>
      <c r="E10" s="53" t="s">
        <v>36</v>
      </c>
      <c r="F10" s="53" t="s">
        <v>432</v>
      </c>
      <c r="G10" s="53" t="s">
        <v>433</v>
      </c>
      <c r="H10" s="54" t="s">
        <v>19</v>
      </c>
      <c r="I10" s="53"/>
      <c r="J10" s="53"/>
      <c r="K10" s="53"/>
      <c r="L10" s="53"/>
    </row>
    <row r="11" spans="1:12" ht="28.9">
      <c r="A11" s="49" t="s">
        <v>415</v>
      </c>
      <c r="B11" s="53"/>
      <c r="C11" s="53"/>
      <c r="D11" s="53"/>
      <c r="E11" s="53" t="s">
        <v>39</v>
      </c>
      <c r="F11" s="53" t="s">
        <v>434</v>
      </c>
      <c r="G11" s="53" t="s">
        <v>435</v>
      </c>
      <c r="H11" s="54" t="s">
        <v>19</v>
      </c>
      <c r="I11" s="53"/>
      <c r="J11" s="53"/>
      <c r="K11" s="53"/>
      <c r="L11" s="53"/>
    </row>
    <row r="12" spans="1:12">
      <c r="A12" s="49" t="s">
        <v>415</v>
      </c>
      <c r="B12" s="52"/>
      <c r="C12" s="52"/>
      <c r="D12" s="52"/>
      <c r="E12" s="52"/>
      <c r="F12" s="52" t="s">
        <v>436</v>
      </c>
      <c r="G12" s="52"/>
      <c r="H12" s="52"/>
      <c r="I12" s="52"/>
      <c r="J12" s="52"/>
      <c r="K12" s="52"/>
      <c r="L12" s="52"/>
    </row>
    <row r="13" spans="1:12" ht="28.9">
      <c r="A13" s="49" t="s">
        <v>415</v>
      </c>
      <c r="B13" s="51"/>
      <c r="C13" s="53"/>
      <c r="D13" s="53"/>
      <c r="E13" s="53" t="s">
        <v>42</v>
      </c>
      <c r="F13" s="53" t="s">
        <v>437</v>
      </c>
      <c r="G13" s="53" t="s">
        <v>438</v>
      </c>
      <c r="H13" s="54" t="s">
        <v>19</v>
      </c>
      <c r="I13" s="53"/>
      <c r="J13" s="53"/>
      <c r="K13" s="53"/>
      <c r="L13" s="53"/>
    </row>
    <row r="14" spans="1:12" ht="28.9">
      <c r="A14" s="49" t="s">
        <v>415</v>
      </c>
      <c r="B14" s="53"/>
      <c r="C14" s="53"/>
      <c r="D14" s="53"/>
      <c r="E14" s="53" t="s">
        <v>45</v>
      </c>
      <c r="F14" s="53" t="s">
        <v>439</v>
      </c>
      <c r="G14" s="53" t="s">
        <v>440</v>
      </c>
      <c r="H14" s="54" t="s">
        <v>19</v>
      </c>
      <c r="I14" s="53"/>
      <c r="J14" s="53"/>
      <c r="K14" s="53"/>
      <c r="L14" s="53"/>
    </row>
    <row r="15" spans="1:12" ht="28.9">
      <c r="A15" s="49" t="s">
        <v>415</v>
      </c>
      <c r="B15" s="53"/>
      <c r="C15" s="53"/>
      <c r="D15" s="53"/>
      <c r="E15" s="53" t="s">
        <v>48</v>
      </c>
      <c r="F15" s="53" t="s">
        <v>441</v>
      </c>
      <c r="G15" s="53" t="s">
        <v>442</v>
      </c>
      <c r="H15" s="54" t="s">
        <v>19</v>
      </c>
      <c r="I15" s="53"/>
      <c r="J15" s="53"/>
      <c r="K15" s="53"/>
      <c r="L15" s="53"/>
    </row>
    <row r="16" spans="1:12" ht="28.9">
      <c r="A16" s="49" t="s">
        <v>415</v>
      </c>
      <c r="B16" s="53"/>
      <c r="C16" s="53"/>
      <c r="D16" s="53"/>
      <c r="E16" s="53" t="s">
        <v>51</v>
      </c>
      <c r="F16" s="53" t="s">
        <v>443</v>
      </c>
      <c r="G16" s="53" t="s">
        <v>444</v>
      </c>
      <c r="H16" s="54" t="s">
        <v>19</v>
      </c>
      <c r="I16" s="53"/>
      <c r="J16" s="53"/>
      <c r="K16" s="53"/>
      <c r="L16" s="53"/>
    </row>
    <row r="17" spans="1:12" ht="28.9">
      <c r="A17" s="49" t="s">
        <v>415</v>
      </c>
      <c r="B17" s="53"/>
      <c r="C17" s="53"/>
      <c r="D17" s="53"/>
      <c r="E17" s="53" t="s">
        <v>56</v>
      </c>
      <c r="F17" s="53" t="s">
        <v>445</v>
      </c>
      <c r="G17" s="53" t="s">
        <v>446</v>
      </c>
      <c r="H17" s="54" t="s">
        <v>19</v>
      </c>
      <c r="I17" s="53"/>
      <c r="J17" s="53"/>
      <c r="K17" s="53"/>
      <c r="L17" s="53"/>
    </row>
    <row r="18" spans="1:12" ht="28.9">
      <c r="A18" s="49" t="s">
        <v>415</v>
      </c>
      <c r="B18" s="53"/>
      <c r="C18" s="53"/>
      <c r="D18" s="53"/>
      <c r="E18" s="53" t="s">
        <v>59</v>
      </c>
      <c r="F18" s="53" t="s">
        <v>447</v>
      </c>
      <c r="G18" s="53" t="s">
        <v>448</v>
      </c>
      <c r="H18" s="54" t="s">
        <v>19</v>
      </c>
      <c r="I18" s="53"/>
      <c r="J18" s="53"/>
      <c r="K18" s="53"/>
      <c r="L18" s="53"/>
    </row>
    <row r="19" spans="1:12" ht="28.9">
      <c r="A19" s="49" t="s">
        <v>415</v>
      </c>
      <c r="B19" s="53"/>
      <c r="C19" s="53"/>
      <c r="D19" s="53"/>
      <c r="E19" s="53" t="s">
        <v>62</v>
      </c>
      <c r="F19" s="53" t="s">
        <v>449</v>
      </c>
      <c r="G19" s="53" t="s">
        <v>450</v>
      </c>
      <c r="H19" s="54" t="s">
        <v>19</v>
      </c>
      <c r="I19" s="53"/>
      <c r="J19" s="53"/>
      <c r="K19" s="53"/>
      <c r="L19" s="53"/>
    </row>
    <row r="20" spans="1:12" ht="28.9">
      <c r="A20" s="49" t="s">
        <v>415</v>
      </c>
      <c r="B20" s="53"/>
      <c r="C20" s="53"/>
      <c r="D20" s="53"/>
      <c r="E20" s="53" t="s">
        <v>65</v>
      </c>
      <c r="F20" s="53" t="s">
        <v>451</v>
      </c>
      <c r="G20" s="53" t="s">
        <v>452</v>
      </c>
      <c r="H20" s="54" t="s">
        <v>19</v>
      </c>
      <c r="I20" s="53"/>
      <c r="J20" s="53"/>
      <c r="K20" s="53"/>
      <c r="L20" s="53"/>
    </row>
    <row r="21" spans="1:12" ht="28.9">
      <c r="A21" s="49" t="s">
        <v>415</v>
      </c>
      <c r="B21" s="53"/>
      <c r="C21" s="53"/>
      <c r="D21" s="53"/>
      <c r="E21" s="53" t="s">
        <v>68</v>
      </c>
      <c r="F21" s="53" t="s">
        <v>453</v>
      </c>
      <c r="G21" s="53" t="s">
        <v>454</v>
      </c>
      <c r="H21" s="54" t="s">
        <v>19</v>
      </c>
      <c r="I21" s="53"/>
      <c r="J21" s="53"/>
      <c r="K21" s="53"/>
      <c r="L21" s="53"/>
    </row>
    <row r="22" spans="1:12" ht="276">
      <c r="A22" s="49" t="s">
        <v>455</v>
      </c>
      <c r="B22" s="52" t="s">
        <v>456</v>
      </c>
      <c r="C22" s="52"/>
      <c r="D22" s="52"/>
      <c r="E22" s="52"/>
      <c r="F22" s="55" t="s">
        <v>457</v>
      </c>
      <c r="G22" s="55" t="s">
        <v>458</v>
      </c>
      <c r="H22" s="52"/>
      <c r="I22" s="52"/>
      <c r="J22" s="52"/>
      <c r="K22" s="52"/>
      <c r="L22" s="52"/>
    </row>
    <row r="23" spans="1:12" ht="28.9">
      <c r="A23" s="49" t="s">
        <v>455</v>
      </c>
      <c r="B23" s="56"/>
      <c r="C23" s="56"/>
      <c r="D23" s="56"/>
      <c r="E23" s="53" t="s">
        <v>71</v>
      </c>
      <c r="F23" s="57" t="s">
        <v>459</v>
      </c>
      <c r="G23" s="58" t="s">
        <v>460</v>
      </c>
      <c r="H23" s="54" t="s">
        <v>19</v>
      </c>
      <c r="I23" s="56"/>
      <c r="J23" s="53"/>
      <c r="K23" s="56"/>
      <c r="L23" s="56"/>
    </row>
    <row r="24" spans="1:12" ht="28.9">
      <c r="A24" s="49" t="s">
        <v>455</v>
      </c>
      <c r="B24" s="56"/>
      <c r="C24" s="56"/>
      <c r="D24" s="56"/>
      <c r="E24" s="53" t="s">
        <v>74</v>
      </c>
      <c r="F24" s="57" t="s">
        <v>461</v>
      </c>
      <c r="G24" s="58" t="s">
        <v>462</v>
      </c>
      <c r="H24" s="54" t="s">
        <v>19</v>
      </c>
      <c r="I24" s="56"/>
      <c r="J24" s="53"/>
      <c r="K24" s="56"/>
      <c r="L24" s="56"/>
    </row>
    <row r="25" spans="1:12" ht="28.9">
      <c r="A25" s="49" t="s">
        <v>455</v>
      </c>
      <c r="B25" s="56"/>
      <c r="C25" s="56"/>
      <c r="D25" s="56"/>
      <c r="E25" s="53" t="s">
        <v>77</v>
      </c>
      <c r="F25" s="57" t="s">
        <v>463</v>
      </c>
      <c r="G25" s="58" t="s">
        <v>464</v>
      </c>
      <c r="H25" s="54" t="s">
        <v>19</v>
      </c>
      <c r="I25" s="56"/>
      <c r="J25" s="53"/>
      <c r="K25" s="56"/>
      <c r="L25" s="56"/>
    </row>
    <row r="26" spans="1:12" ht="28.9">
      <c r="A26" s="49" t="s">
        <v>455</v>
      </c>
      <c r="B26" s="56"/>
      <c r="C26" s="56"/>
      <c r="D26" s="56"/>
      <c r="E26" s="53" t="s">
        <v>81</v>
      </c>
      <c r="F26" s="57" t="s">
        <v>465</v>
      </c>
      <c r="G26" s="58" t="s">
        <v>466</v>
      </c>
      <c r="H26" s="54" t="s">
        <v>19</v>
      </c>
      <c r="I26" s="56"/>
      <c r="J26" s="53"/>
      <c r="K26" s="56"/>
      <c r="L26" s="56"/>
    </row>
    <row r="27" spans="1:12" ht="28.9">
      <c r="A27" s="49" t="s">
        <v>455</v>
      </c>
      <c r="B27" s="56"/>
      <c r="C27" s="56"/>
      <c r="D27" s="56"/>
      <c r="E27" s="53" t="s">
        <v>84</v>
      </c>
      <c r="F27" s="56" t="s">
        <v>467</v>
      </c>
      <c r="G27" s="58" t="s">
        <v>468</v>
      </c>
      <c r="H27" s="54" t="s">
        <v>19</v>
      </c>
      <c r="I27" s="56"/>
      <c r="J27" s="53"/>
      <c r="K27" s="56"/>
      <c r="L27" s="56"/>
    </row>
    <row r="28" spans="1:12" ht="28.9">
      <c r="A28" s="49" t="s">
        <v>455</v>
      </c>
      <c r="B28" s="56"/>
      <c r="C28" s="56"/>
      <c r="D28" s="56"/>
      <c r="E28" s="53" t="s">
        <v>87</v>
      </c>
      <c r="F28" s="56" t="s">
        <v>437</v>
      </c>
      <c r="G28" s="58" t="s">
        <v>438</v>
      </c>
      <c r="H28" s="54" t="s">
        <v>19</v>
      </c>
      <c r="I28" s="56"/>
      <c r="J28" s="53"/>
      <c r="K28" s="56"/>
      <c r="L28" s="56"/>
    </row>
    <row r="29" spans="1:12" ht="28.9">
      <c r="A29" s="49" t="s">
        <v>455</v>
      </c>
      <c r="B29" s="56"/>
      <c r="C29" s="56"/>
      <c r="D29" s="56"/>
      <c r="E29" s="53" t="s">
        <v>90</v>
      </c>
      <c r="F29" s="56" t="s">
        <v>439</v>
      </c>
      <c r="G29" s="58" t="s">
        <v>440</v>
      </c>
      <c r="H29" s="54" t="s">
        <v>19</v>
      </c>
      <c r="I29" s="56"/>
      <c r="J29" s="53"/>
      <c r="K29" s="56"/>
      <c r="L29" s="56"/>
    </row>
    <row r="30" spans="1:12" ht="28.9">
      <c r="A30" s="49" t="s">
        <v>455</v>
      </c>
      <c r="B30" s="56"/>
      <c r="C30" s="56"/>
      <c r="D30" s="56"/>
      <c r="E30" s="53" t="s">
        <v>93</v>
      </c>
      <c r="F30" s="56" t="s">
        <v>469</v>
      </c>
      <c r="G30" s="58" t="s">
        <v>470</v>
      </c>
      <c r="H30" s="54" t="s">
        <v>19</v>
      </c>
      <c r="I30" s="56"/>
      <c r="J30" s="53"/>
      <c r="K30" s="56"/>
      <c r="L30" s="56"/>
    </row>
    <row r="31" spans="1:12" ht="28.9">
      <c r="A31" s="49" t="s">
        <v>455</v>
      </c>
      <c r="B31" s="56"/>
      <c r="C31" s="56"/>
      <c r="D31" s="56"/>
      <c r="E31" s="53" t="s">
        <v>96</v>
      </c>
      <c r="F31" s="56" t="s">
        <v>445</v>
      </c>
      <c r="G31" s="58" t="s">
        <v>446</v>
      </c>
      <c r="H31" s="54" t="s">
        <v>19</v>
      </c>
      <c r="I31" s="56"/>
      <c r="J31" s="53"/>
      <c r="K31" s="56"/>
      <c r="L31" s="56"/>
    </row>
    <row r="32" spans="1:12" ht="28.9">
      <c r="A32" s="49" t="s">
        <v>455</v>
      </c>
      <c r="B32" s="56"/>
      <c r="C32" s="56"/>
      <c r="D32" s="56"/>
      <c r="E32" s="53" t="s">
        <v>99</v>
      </c>
      <c r="F32" s="56" t="s">
        <v>471</v>
      </c>
      <c r="G32" s="58" t="s">
        <v>472</v>
      </c>
      <c r="H32" s="54" t="s">
        <v>19</v>
      </c>
      <c r="I32" s="56"/>
      <c r="J32" s="53"/>
      <c r="K32" s="56"/>
      <c r="L32" s="56"/>
    </row>
    <row r="33" spans="1:12" ht="28.9">
      <c r="A33" s="49" t="s">
        <v>455</v>
      </c>
      <c r="B33" s="56"/>
      <c r="C33" s="56"/>
      <c r="D33" s="56"/>
      <c r="E33" s="53" t="s">
        <v>102</v>
      </c>
      <c r="F33" s="56" t="s">
        <v>473</v>
      </c>
      <c r="G33" s="58" t="s">
        <v>474</v>
      </c>
      <c r="H33" s="54" t="s">
        <v>19</v>
      </c>
      <c r="I33" s="56"/>
      <c r="J33" s="53"/>
      <c r="K33" s="56"/>
      <c r="L33" s="56"/>
    </row>
  </sheetData>
  <phoneticPr fontId="1" type="noConversion"/>
  <conditionalFormatting sqref="H1:H11 H13:H21 H23:H33">
    <cfRule type="cellIs" dxfId="29" priority="1" stopIfTrue="1" operator="equal">
      <formula>"Deferred"</formula>
    </cfRule>
    <cfRule type="cellIs" dxfId="28" priority="2" operator="equal">
      <formula>"Not Applicable"</formula>
    </cfRule>
    <cfRule type="cellIs" dxfId="27" priority="3" operator="equal">
      <formula>"Pass"</formula>
    </cfRule>
    <cfRule type="cellIs" dxfId="26" priority="4" operator="equal">
      <formula>"Fail"</formula>
    </cfRule>
    <cfRule type="cellIs" dxfId="25" priority="5" operator="equal">
      <formula>"In progress"</formula>
    </cfRule>
  </conditionalFormatting>
  <dataValidations disablePrompts="1" count="1">
    <dataValidation type="list" allowBlank="1" showInputMessage="1" showErrorMessage="1" sqref="H4:H11 H13:H21 H23:H33" xr:uid="{CFFA2C44-7857-430F-B51F-6A12453392A0}">
      <formula1>"Pass,Fail,Deferred,Not Valid,Not Applicable,In Progress,No Run"</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C40CF28-B06D-4DCE-8D25-8CCAB4D62FB2}">
          <x14:formula1>
            <xm:f>'Case install'!$B$1048553:$B$1048576</xm:f>
          </x14:formula1>
          <xm:sqref>J4:J21 J23:J33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29EC-8F3A-42EC-AE95-4E91208934E0}">
  <dimension ref="A1:L16"/>
  <sheetViews>
    <sheetView workbookViewId="0">
      <pane ySplit="1" topLeftCell="A7" activePane="bottomLeft" state="frozen"/>
      <selection pane="bottomLeft" activeCell="A2" sqref="A2"/>
    </sheetView>
  </sheetViews>
  <sheetFormatPr defaultColWidth="14.85546875" defaultRowHeight="14.45"/>
  <cols>
    <col min="2" max="2" width="19.85546875" bestFit="1" customWidth="1"/>
    <col min="3" max="3" width="8.7109375" customWidth="1"/>
    <col min="4" max="4" width="8.7109375" bestFit="1" customWidth="1"/>
    <col min="5" max="5" width="5.140625" bestFit="1" customWidth="1"/>
    <col min="6" max="6" width="44" customWidth="1"/>
    <col min="7" max="7" width="51.7109375" customWidth="1"/>
    <col min="8" max="8" width="8.28515625" bestFit="1" customWidth="1"/>
    <col min="9" max="9" width="11.28515625" bestFit="1" customWidth="1"/>
    <col min="10" max="11" width="11.85546875" bestFit="1" customWidth="1"/>
    <col min="12" max="12" width="10.140625" bestFit="1" customWidth="1"/>
  </cols>
  <sheetData>
    <row r="1" spans="1:12" ht="43.15">
      <c r="A1" s="2" t="s">
        <v>0</v>
      </c>
      <c r="B1" s="2" t="s">
        <v>1</v>
      </c>
      <c r="C1" s="2" t="s">
        <v>2</v>
      </c>
      <c r="D1" s="2" t="s">
        <v>3</v>
      </c>
      <c r="E1" s="2" t="s">
        <v>4</v>
      </c>
      <c r="F1" s="2" t="s">
        <v>5</v>
      </c>
      <c r="G1" s="2" t="s">
        <v>6</v>
      </c>
      <c r="H1" s="2" t="s">
        <v>7</v>
      </c>
      <c r="I1" s="2" t="s">
        <v>8</v>
      </c>
      <c r="J1" s="2" t="s">
        <v>9</v>
      </c>
      <c r="K1" s="2" t="s">
        <v>10</v>
      </c>
      <c r="L1" s="2" t="s">
        <v>11</v>
      </c>
    </row>
    <row r="2" spans="1:12" ht="252">
      <c r="A2" s="49" t="s">
        <v>475</v>
      </c>
      <c r="B2" s="4" t="s">
        <v>476</v>
      </c>
      <c r="C2" s="4"/>
      <c r="D2" s="4"/>
      <c r="E2" s="4"/>
      <c r="F2" s="9" t="s">
        <v>477</v>
      </c>
      <c r="G2" s="9" t="s">
        <v>478</v>
      </c>
      <c r="H2" s="4"/>
      <c r="I2" s="4"/>
      <c r="J2" s="4"/>
      <c r="K2" s="4"/>
      <c r="L2" s="4"/>
    </row>
    <row r="3" spans="1:12" ht="27.6">
      <c r="A3" s="49" t="s">
        <v>475</v>
      </c>
      <c r="B3" s="10"/>
      <c r="C3" s="10"/>
      <c r="D3" s="10"/>
      <c r="E3" s="5" t="s">
        <v>16</v>
      </c>
      <c r="F3" s="10" t="s">
        <v>479</v>
      </c>
      <c r="G3" s="10" t="s">
        <v>480</v>
      </c>
      <c r="H3" s="8" t="s">
        <v>19</v>
      </c>
      <c r="I3" s="10"/>
      <c r="J3" s="5"/>
    </row>
    <row r="4" spans="1:12" ht="28.9">
      <c r="A4" s="49" t="s">
        <v>475</v>
      </c>
      <c r="B4" s="5"/>
      <c r="C4" s="5"/>
      <c r="D4" s="5"/>
      <c r="E4" s="5" t="s">
        <v>21</v>
      </c>
      <c r="F4" s="10" t="s">
        <v>481</v>
      </c>
      <c r="G4" s="5" t="s">
        <v>482</v>
      </c>
      <c r="H4" s="8" t="s">
        <v>19</v>
      </c>
      <c r="I4" s="5"/>
      <c r="J4" s="5"/>
      <c r="K4" s="5"/>
      <c r="L4" s="5"/>
    </row>
    <row r="5" spans="1:12" ht="28.9">
      <c r="A5" s="49" t="s">
        <v>475</v>
      </c>
      <c r="B5" s="5"/>
      <c r="C5" s="5"/>
      <c r="D5" s="5"/>
      <c r="E5" s="5" t="s">
        <v>24</v>
      </c>
      <c r="F5" s="10" t="s">
        <v>483</v>
      </c>
      <c r="G5" s="5" t="s">
        <v>484</v>
      </c>
      <c r="H5" s="8" t="s">
        <v>19</v>
      </c>
      <c r="I5" s="5"/>
      <c r="J5" s="5"/>
      <c r="K5" s="5"/>
      <c r="L5" s="5"/>
    </row>
    <row r="6" spans="1:12" ht="28.9">
      <c r="A6" s="49" t="s">
        <v>475</v>
      </c>
      <c r="B6" s="5"/>
      <c r="C6" s="5"/>
      <c r="D6" s="5"/>
      <c r="E6" s="5" t="s">
        <v>27</v>
      </c>
      <c r="F6" s="10" t="s">
        <v>485</v>
      </c>
      <c r="G6" s="5" t="s">
        <v>486</v>
      </c>
      <c r="H6" s="8" t="s">
        <v>19</v>
      </c>
      <c r="I6" s="5"/>
      <c r="J6" s="5"/>
      <c r="K6" s="5"/>
      <c r="L6" s="5"/>
    </row>
    <row r="7" spans="1:12" ht="28.9">
      <c r="A7" s="49" t="s">
        <v>475</v>
      </c>
      <c r="B7" s="5"/>
      <c r="C7" s="5"/>
      <c r="D7" s="5"/>
      <c r="E7" s="5" t="s">
        <v>30</v>
      </c>
      <c r="F7" s="10" t="s">
        <v>487</v>
      </c>
      <c r="G7" s="5" t="s">
        <v>488</v>
      </c>
      <c r="H7" s="8" t="s">
        <v>19</v>
      </c>
      <c r="I7" s="5"/>
      <c r="J7" s="5"/>
      <c r="K7" s="5"/>
      <c r="L7" s="5"/>
    </row>
    <row r="8" spans="1:12" ht="28.9">
      <c r="A8" s="49" t="s">
        <v>475</v>
      </c>
      <c r="B8" s="5"/>
      <c r="C8" s="5"/>
      <c r="D8" s="5"/>
      <c r="E8" s="5" t="s">
        <v>33</v>
      </c>
      <c r="F8" s="10" t="s">
        <v>489</v>
      </c>
      <c r="G8" s="5" t="s">
        <v>490</v>
      </c>
      <c r="H8" s="8" t="s">
        <v>19</v>
      </c>
      <c r="I8" s="5"/>
      <c r="J8" s="5"/>
      <c r="K8" s="5"/>
      <c r="L8" s="5"/>
    </row>
    <row r="9" spans="1:12" ht="28.9">
      <c r="A9" s="49" t="s">
        <v>475</v>
      </c>
      <c r="B9" s="5"/>
      <c r="C9" s="5"/>
      <c r="D9" s="5"/>
      <c r="E9" s="5" t="s">
        <v>36</v>
      </c>
      <c r="F9" s="10" t="s">
        <v>491</v>
      </c>
      <c r="G9" s="5" t="s">
        <v>492</v>
      </c>
      <c r="H9" s="8" t="s">
        <v>19</v>
      </c>
      <c r="I9" s="5"/>
      <c r="J9" s="5"/>
      <c r="K9" s="5"/>
      <c r="L9" s="5"/>
    </row>
    <row r="10" spans="1:12" ht="110.45">
      <c r="A10" s="49" t="s">
        <v>493</v>
      </c>
      <c r="B10" s="4" t="s">
        <v>494</v>
      </c>
      <c r="C10" s="4"/>
      <c r="D10" s="4"/>
      <c r="E10" s="4"/>
      <c r="F10" s="14" t="s">
        <v>495</v>
      </c>
      <c r="G10" s="4" t="s">
        <v>496</v>
      </c>
      <c r="H10" s="12"/>
      <c r="I10" s="12"/>
      <c r="J10" s="12"/>
      <c r="K10" s="12"/>
      <c r="L10" s="12"/>
    </row>
    <row r="11" spans="1:12" ht="28.9">
      <c r="A11" s="49" t="s">
        <v>493</v>
      </c>
      <c r="B11" s="5"/>
      <c r="C11" s="5"/>
      <c r="D11" s="5"/>
      <c r="E11" s="5" t="s">
        <v>39</v>
      </c>
      <c r="F11" s="10" t="s">
        <v>497</v>
      </c>
      <c r="G11" s="5" t="s">
        <v>498</v>
      </c>
      <c r="H11" s="8" t="s">
        <v>19</v>
      </c>
      <c r="I11" s="5"/>
      <c r="J11" s="5"/>
      <c r="K11" s="5"/>
      <c r="L11" s="5"/>
    </row>
    <row r="12" spans="1:12" ht="28.9">
      <c r="A12" s="49" t="s">
        <v>493</v>
      </c>
      <c r="B12" s="5"/>
      <c r="C12" s="5"/>
      <c r="D12" s="5"/>
      <c r="E12" s="5" t="s">
        <v>42</v>
      </c>
      <c r="F12" s="10" t="s">
        <v>499</v>
      </c>
      <c r="G12" s="5" t="s">
        <v>500</v>
      </c>
      <c r="H12" s="8" t="s">
        <v>19</v>
      </c>
      <c r="I12" s="5"/>
      <c r="J12" s="5"/>
      <c r="K12" s="5"/>
      <c r="L12" s="5"/>
    </row>
    <row r="13" spans="1:12" ht="28.9">
      <c r="A13" s="49" t="s">
        <v>493</v>
      </c>
      <c r="B13" s="5"/>
      <c r="C13" s="5"/>
      <c r="D13" s="5"/>
      <c r="E13" s="5" t="s">
        <v>45</v>
      </c>
      <c r="F13" s="10" t="s">
        <v>501</v>
      </c>
      <c r="G13" s="5" t="s">
        <v>502</v>
      </c>
      <c r="H13" s="8" t="s">
        <v>19</v>
      </c>
      <c r="I13" s="5"/>
      <c r="J13" s="5"/>
      <c r="K13" s="5"/>
      <c r="L13" s="5"/>
    </row>
    <row r="14" spans="1:12" ht="82.9">
      <c r="A14" s="49" t="s">
        <v>493</v>
      </c>
      <c r="B14" s="5"/>
      <c r="C14" s="5"/>
      <c r="D14" s="5"/>
      <c r="E14" s="5" t="s">
        <v>48</v>
      </c>
      <c r="F14" s="10" t="s">
        <v>503</v>
      </c>
      <c r="G14" s="5" t="s">
        <v>504</v>
      </c>
      <c r="H14" s="8" t="s">
        <v>19</v>
      </c>
      <c r="I14" s="5"/>
      <c r="J14" s="5"/>
      <c r="K14" s="5"/>
      <c r="L14" s="5"/>
    </row>
    <row r="15" spans="1:12" ht="28.9">
      <c r="A15" s="49" t="s">
        <v>493</v>
      </c>
      <c r="B15" s="5"/>
      <c r="C15" s="5"/>
      <c r="D15" s="5"/>
      <c r="E15" s="5" t="s">
        <v>51</v>
      </c>
      <c r="F15" s="10" t="s">
        <v>505</v>
      </c>
      <c r="G15" s="5" t="s">
        <v>506</v>
      </c>
      <c r="H15" s="8" t="s">
        <v>19</v>
      </c>
      <c r="I15" s="5"/>
      <c r="J15" s="5"/>
      <c r="K15" s="5"/>
      <c r="L15" s="5"/>
    </row>
    <row r="16" spans="1:12" ht="28.9">
      <c r="A16" s="49" t="s">
        <v>493</v>
      </c>
      <c r="B16" s="1"/>
      <c r="C16" s="1"/>
      <c r="D16" s="1"/>
      <c r="E16" s="5" t="s">
        <v>56</v>
      </c>
      <c r="F16" s="10" t="s">
        <v>507</v>
      </c>
      <c r="G16" s="5" t="s">
        <v>508</v>
      </c>
      <c r="H16" s="8" t="s">
        <v>19</v>
      </c>
      <c r="I16" s="5"/>
      <c r="J16" s="1"/>
      <c r="K16" s="1"/>
      <c r="L16" s="1"/>
    </row>
  </sheetData>
  <phoneticPr fontId="1" type="noConversion"/>
  <conditionalFormatting sqref="H1:H9 H11:H16">
    <cfRule type="cellIs" dxfId="24" priority="1" stopIfTrue="1" operator="equal">
      <formula>"Deferred"</formula>
    </cfRule>
    <cfRule type="cellIs" dxfId="23" priority="2" operator="equal">
      <formula>"Not Applicable"</formula>
    </cfRule>
    <cfRule type="cellIs" dxfId="22" priority="3" operator="equal">
      <formula>"Pass"</formula>
    </cfRule>
    <cfRule type="cellIs" dxfId="21" priority="4" operator="equal">
      <formula>"Fail"</formula>
    </cfRule>
    <cfRule type="cellIs" dxfId="20" priority="5" operator="equal">
      <formula>"In progress"</formula>
    </cfRule>
  </conditionalFormatting>
  <dataValidations count="1">
    <dataValidation type="list" allowBlank="1" showInputMessage="1" showErrorMessage="1" sqref="H3:H9 H11:H16" xr:uid="{38B6AC2F-F9A3-405A-8209-6D51CE297426}">
      <formula1>"Pass,Fail,Deferred,Not Valid,Not Applicable,In Progress,No Run"</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ECAFCD-CDC6-4175-A9DA-A0905DC4A1EF}">
          <x14:formula1>
            <xm:f>'Case install'!$B$1048553:$B$1048576</xm:f>
          </x14:formula1>
          <xm:sqref>J3:J15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2608-9502-41EB-BB97-45522E615476}">
  <dimension ref="A1:M25"/>
  <sheetViews>
    <sheetView workbookViewId="0">
      <pane ySplit="1" topLeftCell="A22" activePane="bottomLeft" state="frozen"/>
      <selection pane="bottomLeft" activeCell="G5" sqref="G5"/>
    </sheetView>
  </sheetViews>
  <sheetFormatPr defaultColWidth="27.7109375" defaultRowHeight="14.45"/>
  <cols>
    <col min="1" max="1" width="21.7109375" bestFit="1" customWidth="1"/>
    <col min="2" max="2" width="27.28515625" bestFit="1" customWidth="1"/>
    <col min="3" max="3" width="12.28515625" bestFit="1" customWidth="1"/>
    <col min="4" max="4" width="15.85546875" bestFit="1" customWidth="1"/>
    <col min="5" max="5" width="5.85546875" customWidth="1"/>
    <col min="6" max="6" width="12.28515625" bestFit="1" customWidth="1"/>
    <col min="7" max="7" width="44.28515625" bestFit="1" customWidth="1"/>
    <col min="8" max="8" width="41.85546875" bestFit="1" customWidth="1"/>
    <col min="9" max="9" width="8.28515625" bestFit="1" customWidth="1"/>
    <col min="10" max="10" width="11.28515625" bestFit="1" customWidth="1"/>
    <col min="11" max="12" width="11.85546875" bestFit="1" customWidth="1"/>
    <col min="13" max="13" width="15.7109375" bestFit="1" customWidth="1"/>
  </cols>
  <sheetData>
    <row r="1" spans="1:13" ht="28.9">
      <c r="A1" s="2" t="s">
        <v>0</v>
      </c>
      <c r="B1" s="2" t="s">
        <v>1</v>
      </c>
      <c r="C1" s="2" t="s">
        <v>2</v>
      </c>
      <c r="D1" s="2" t="s">
        <v>3</v>
      </c>
      <c r="E1" s="2" t="s">
        <v>4</v>
      </c>
      <c r="F1" s="2" t="s">
        <v>509</v>
      </c>
      <c r="G1" s="2" t="s">
        <v>5</v>
      </c>
      <c r="H1" s="2" t="s">
        <v>6</v>
      </c>
      <c r="I1" s="2" t="s">
        <v>7</v>
      </c>
      <c r="J1" s="2" t="s">
        <v>8</v>
      </c>
      <c r="K1" s="2" t="s">
        <v>9</v>
      </c>
      <c r="L1" s="2" t="s">
        <v>10</v>
      </c>
      <c r="M1" s="2" t="s">
        <v>11</v>
      </c>
    </row>
    <row r="2" spans="1:13" ht="84">
      <c r="A2" s="49" t="s">
        <v>510</v>
      </c>
      <c r="B2" s="4" t="s">
        <v>511</v>
      </c>
      <c r="C2" s="4"/>
      <c r="D2" s="4"/>
      <c r="E2" s="4"/>
      <c r="F2" s="4"/>
      <c r="G2" s="17" t="s">
        <v>512</v>
      </c>
      <c r="H2" s="17" t="s">
        <v>513</v>
      </c>
      <c r="I2" s="4"/>
      <c r="J2" s="4"/>
      <c r="K2" s="4"/>
      <c r="L2" s="4"/>
      <c r="M2" s="4"/>
    </row>
    <row r="3" spans="1:13" ht="43.15">
      <c r="A3" s="49" t="s">
        <v>510</v>
      </c>
      <c r="B3" s="5"/>
      <c r="C3" s="5"/>
      <c r="D3" s="5"/>
      <c r="E3" s="5" t="s">
        <v>16</v>
      </c>
      <c r="F3" s="5"/>
      <c r="G3" s="5" t="s">
        <v>514</v>
      </c>
      <c r="H3" s="5" t="s">
        <v>515</v>
      </c>
      <c r="I3" s="8" t="s">
        <v>19</v>
      </c>
      <c r="J3" s="5"/>
      <c r="K3" s="5"/>
      <c r="L3" s="5"/>
      <c r="M3" s="5"/>
    </row>
    <row r="4" spans="1:13" ht="43.15">
      <c r="A4" s="49" t="s">
        <v>510</v>
      </c>
      <c r="B4" s="5"/>
      <c r="C4" s="5"/>
      <c r="D4" s="5"/>
      <c r="E4" s="5" t="s">
        <v>21</v>
      </c>
      <c r="F4" s="5"/>
      <c r="G4" s="5" t="s">
        <v>516</v>
      </c>
      <c r="H4" s="5" t="s">
        <v>515</v>
      </c>
      <c r="I4" s="8" t="s">
        <v>19</v>
      </c>
      <c r="J4" s="5"/>
      <c r="K4" s="5"/>
      <c r="L4" s="5"/>
      <c r="M4" s="5"/>
    </row>
    <row r="5" spans="1:13" ht="43.15">
      <c r="A5" s="49" t="s">
        <v>510</v>
      </c>
      <c r="B5" s="5"/>
      <c r="C5" s="5"/>
      <c r="D5" s="5"/>
      <c r="E5" s="5" t="s">
        <v>24</v>
      </c>
      <c r="F5" s="5"/>
      <c r="G5" s="5" t="s">
        <v>517</v>
      </c>
      <c r="H5" s="5" t="s">
        <v>515</v>
      </c>
      <c r="I5" s="8" t="s">
        <v>19</v>
      </c>
      <c r="J5" s="5"/>
      <c r="K5" s="5"/>
      <c r="L5" s="5"/>
      <c r="M5" s="5"/>
    </row>
    <row r="6" spans="1:13" ht="28.9">
      <c r="A6" s="49" t="s">
        <v>510</v>
      </c>
      <c r="B6" s="5"/>
      <c r="C6" s="5"/>
      <c r="D6" s="5"/>
      <c r="E6" s="5" t="s">
        <v>27</v>
      </c>
      <c r="F6" s="5"/>
      <c r="G6" s="5" t="s">
        <v>518</v>
      </c>
      <c r="H6" s="5" t="s">
        <v>515</v>
      </c>
      <c r="I6" s="8" t="s">
        <v>19</v>
      </c>
      <c r="J6" s="5"/>
      <c r="K6" s="5"/>
      <c r="L6" s="5"/>
      <c r="M6" s="5"/>
    </row>
    <row r="7" spans="1:13" ht="28.9">
      <c r="A7" s="49" t="s">
        <v>510</v>
      </c>
      <c r="B7" s="1"/>
      <c r="C7" s="1"/>
      <c r="D7" s="1"/>
      <c r="E7" s="5" t="s">
        <v>30</v>
      </c>
      <c r="F7" s="5"/>
      <c r="G7" s="5" t="s">
        <v>519</v>
      </c>
      <c r="H7" s="5" t="s">
        <v>515</v>
      </c>
      <c r="I7" s="8" t="s">
        <v>19</v>
      </c>
      <c r="J7" s="1"/>
      <c r="K7" s="1"/>
      <c r="L7" s="1"/>
      <c r="M7" s="1"/>
    </row>
    <row r="8" spans="1:13" ht="28.9">
      <c r="A8" s="49" t="s">
        <v>510</v>
      </c>
      <c r="B8" s="1"/>
      <c r="C8" s="1"/>
      <c r="D8" s="1"/>
      <c r="E8" s="5" t="s">
        <v>33</v>
      </c>
      <c r="F8" s="5"/>
      <c r="G8" s="5" t="s">
        <v>520</v>
      </c>
      <c r="H8" s="5" t="s">
        <v>515</v>
      </c>
      <c r="I8" s="8" t="s">
        <v>19</v>
      </c>
      <c r="J8" s="1"/>
      <c r="K8" s="1"/>
      <c r="L8" s="1"/>
      <c r="M8" s="1"/>
    </row>
    <row r="9" spans="1:13" s="4" customFormat="1">
      <c r="A9" s="49" t="s">
        <v>510</v>
      </c>
      <c r="G9" s="4" t="s">
        <v>521</v>
      </c>
    </row>
    <row r="10" spans="1:13" ht="86.45">
      <c r="A10" s="49" t="s">
        <v>510</v>
      </c>
      <c r="B10" s="1"/>
      <c r="C10" s="1"/>
      <c r="D10" s="1"/>
      <c r="E10" s="5" t="s">
        <v>36</v>
      </c>
      <c r="F10" s="5" t="s">
        <v>522</v>
      </c>
      <c r="G10" s="5" t="s">
        <v>523</v>
      </c>
      <c r="H10" s="5" t="s">
        <v>515</v>
      </c>
      <c r="I10" s="8" t="s">
        <v>19</v>
      </c>
      <c r="J10" s="1"/>
      <c r="K10" s="1"/>
      <c r="L10" s="1"/>
      <c r="M10" s="1"/>
    </row>
    <row r="11" spans="1:13" ht="86.45">
      <c r="A11" s="49" t="s">
        <v>510</v>
      </c>
      <c r="B11" s="1"/>
      <c r="C11" s="1"/>
      <c r="D11" s="1"/>
      <c r="E11" s="5" t="s">
        <v>39</v>
      </c>
      <c r="F11" s="5" t="s">
        <v>522</v>
      </c>
      <c r="G11" s="5" t="s">
        <v>524</v>
      </c>
      <c r="H11" s="5" t="s">
        <v>515</v>
      </c>
      <c r="I11" s="8" t="s">
        <v>19</v>
      </c>
      <c r="J11" s="1"/>
      <c r="K11" s="1"/>
      <c r="L11" s="1"/>
      <c r="M11" s="1"/>
    </row>
    <row r="12" spans="1:13" s="4" customFormat="1">
      <c r="A12" s="49" t="s">
        <v>510</v>
      </c>
      <c r="G12" s="4" t="s">
        <v>525</v>
      </c>
    </row>
    <row r="13" spans="1:13" ht="43.15">
      <c r="A13" s="49" t="s">
        <v>510</v>
      </c>
      <c r="B13" s="1"/>
      <c r="C13" s="1"/>
      <c r="D13" s="1"/>
      <c r="E13" s="5" t="s">
        <v>42</v>
      </c>
      <c r="F13" s="5" t="s">
        <v>526</v>
      </c>
      <c r="G13" s="5" t="s">
        <v>527</v>
      </c>
      <c r="H13" s="5" t="s">
        <v>515</v>
      </c>
      <c r="I13" s="8" t="s">
        <v>19</v>
      </c>
      <c r="J13" s="1"/>
      <c r="K13" s="1"/>
      <c r="L13" s="1"/>
      <c r="M13" s="1"/>
    </row>
    <row r="14" spans="1:13" ht="43.15">
      <c r="A14" s="49" t="s">
        <v>510</v>
      </c>
      <c r="B14" s="1"/>
      <c r="C14" s="1"/>
      <c r="D14" s="1"/>
      <c r="E14" s="5" t="s">
        <v>45</v>
      </c>
      <c r="F14" s="5" t="s">
        <v>528</v>
      </c>
      <c r="G14" s="5" t="s">
        <v>529</v>
      </c>
      <c r="H14" s="5" t="s">
        <v>515</v>
      </c>
      <c r="I14" s="8" t="s">
        <v>19</v>
      </c>
      <c r="J14" s="1"/>
      <c r="K14" s="1"/>
      <c r="L14" s="1"/>
      <c r="M14" s="1"/>
    </row>
    <row r="15" spans="1:13" ht="86.45">
      <c r="A15" s="49" t="s">
        <v>510</v>
      </c>
      <c r="B15" s="1"/>
      <c r="C15" s="1"/>
      <c r="D15" s="1"/>
      <c r="E15" s="5" t="s">
        <v>48</v>
      </c>
      <c r="F15" s="5" t="s">
        <v>530</v>
      </c>
      <c r="G15" s="5" t="s">
        <v>531</v>
      </c>
      <c r="H15" s="5" t="s">
        <v>515</v>
      </c>
      <c r="I15" s="8" t="s">
        <v>19</v>
      </c>
      <c r="J15" s="1"/>
      <c r="K15" s="1"/>
      <c r="L15" s="1"/>
      <c r="M15" s="1"/>
    </row>
    <row r="16" spans="1:13" ht="72">
      <c r="A16" s="49" t="s">
        <v>510</v>
      </c>
      <c r="B16" s="1"/>
      <c r="C16" s="1"/>
      <c r="D16" s="1"/>
      <c r="E16" s="5" t="s">
        <v>51</v>
      </c>
      <c r="F16" s="5" t="s">
        <v>530</v>
      </c>
      <c r="G16" s="5" t="s">
        <v>532</v>
      </c>
      <c r="H16" s="5" t="s">
        <v>533</v>
      </c>
      <c r="I16" s="8" t="s">
        <v>19</v>
      </c>
      <c r="J16" s="1"/>
      <c r="K16" s="1"/>
      <c r="L16" s="1"/>
      <c r="M16" s="1"/>
    </row>
    <row r="17" spans="1:13" ht="86.45">
      <c r="A17" s="49" t="s">
        <v>510</v>
      </c>
      <c r="B17" s="1"/>
      <c r="C17" s="1"/>
      <c r="D17" s="1"/>
      <c r="E17" s="5" t="s">
        <v>56</v>
      </c>
      <c r="F17" s="5" t="s">
        <v>530</v>
      </c>
      <c r="G17" s="5" t="s">
        <v>534</v>
      </c>
      <c r="H17" s="5" t="s">
        <v>515</v>
      </c>
      <c r="I17" s="8" t="s">
        <v>19</v>
      </c>
      <c r="J17" s="1"/>
      <c r="K17" s="1"/>
      <c r="L17" s="1"/>
      <c r="M17" s="1"/>
    </row>
    <row r="18" spans="1:13" ht="72">
      <c r="A18" s="49" t="s">
        <v>510</v>
      </c>
      <c r="B18" s="1"/>
      <c r="C18" s="1"/>
      <c r="D18" s="1"/>
      <c r="E18" s="5" t="s">
        <v>59</v>
      </c>
      <c r="F18" s="5" t="s">
        <v>530</v>
      </c>
      <c r="G18" s="5" t="s">
        <v>535</v>
      </c>
      <c r="H18" s="5" t="s">
        <v>533</v>
      </c>
      <c r="I18" s="8" t="s">
        <v>19</v>
      </c>
      <c r="J18" s="1"/>
      <c r="K18" s="1"/>
      <c r="L18" s="1"/>
      <c r="M18" s="1"/>
    </row>
    <row r="19" spans="1:13">
      <c r="A19" s="49" t="s">
        <v>536</v>
      </c>
      <c r="B19" s="4"/>
      <c r="C19" s="4"/>
      <c r="D19" s="4"/>
      <c r="E19" s="4"/>
      <c r="F19" s="4"/>
      <c r="G19" s="4" t="s">
        <v>537</v>
      </c>
      <c r="H19" s="18"/>
      <c r="I19" s="4"/>
      <c r="J19" s="4"/>
      <c r="K19" s="4"/>
      <c r="L19" s="4"/>
      <c r="M19" s="4"/>
    </row>
    <row r="20" spans="1:13" ht="86.45">
      <c r="A20" s="49" t="s">
        <v>536</v>
      </c>
      <c r="B20" s="1"/>
      <c r="C20" s="1"/>
      <c r="D20" s="1"/>
      <c r="E20" s="5" t="s">
        <v>62</v>
      </c>
      <c r="F20" s="5" t="s">
        <v>538</v>
      </c>
      <c r="G20" s="5" t="s">
        <v>539</v>
      </c>
      <c r="H20" s="5" t="s">
        <v>540</v>
      </c>
      <c r="I20" s="8" t="s">
        <v>19</v>
      </c>
      <c r="J20" s="1"/>
      <c r="K20" s="1"/>
      <c r="L20" s="1"/>
      <c r="M20" s="1"/>
    </row>
    <row r="21" spans="1:13" ht="86.45">
      <c r="A21" s="49" t="s">
        <v>536</v>
      </c>
      <c r="B21" s="1"/>
      <c r="C21" s="1"/>
      <c r="D21" s="1"/>
      <c r="E21" s="5" t="s">
        <v>65</v>
      </c>
      <c r="F21" s="5" t="s">
        <v>538</v>
      </c>
      <c r="G21" s="5" t="s">
        <v>541</v>
      </c>
      <c r="H21" s="5" t="s">
        <v>542</v>
      </c>
      <c r="I21" s="8" t="s">
        <v>19</v>
      </c>
      <c r="J21" s="1"/>
      <c r="K21" s="1"/>
      <c r="L21" s="1"/>
      <c r="M21" s="1"/>
    </row>
    <row r="22" spans="1:13" ht="204">
      <c r="A22" s="49" t="s">
        <v>543</v>
      </c>
      <c r="B22" s="4" t="s">
        <v>544</v>
      </c>
      <c r="C22" s="4"/>
      <c r="D22" s="4"/>
      <c r="E22" s="4"/>
      <c r="F22" s="4"/>
      <c r="G22" s="18" t="s">
        <v>545</v>
      </c>
      <c r="H22" s="18" t="s">
        <v>546</v>
      </c>
      <c r="I22" s="4"/>
      <c r="J22" s="4"/>
      <c r="K22" s="4"/>
      <c r="L22" s="4"/>
      <c r="M22" s="4"/>
    </row>
    <row r="23" spans="1:13">
      <c r="A23" s="49" t="s">
        <v>543</v>
      </c>
      <c r="B23" s="1"/>
      <c r="C23" s="1"/>
      <c r="D23" s="1"/>
      <c r="E23" s="5" t="s">
        <v>71</v>
      </c>
      <c r="F23" s="5"/>
      <c r="G23" s="5" t="s">
        <v>547</v>
      </c>
      <c r="H23" s="5" t="s">
        <v>548</v>
      </c>
      <c r="I23" s="8" t="s">
        <v>19</v>
      </c>
      <c r="J23" s="1"/>
      <c r="K23" s="1"/>
      <c r="L23" s="1"/>
      <c r="M23" s="1"/>
    </row>
    <row r="24" spans="1:13" ht="132.6">
      <c r="A24" s="49" t="s">
        <v>543</v>
      </c>
      <c r="B24" s="4"/>
      <c r="C24" s="4"/>
      <c r="D24" s="4"/>
      <c r="E24" s="4"/>
      <c r="F24" s="4"/>
      <c r="G24" s="19" t="s">
        <v>549</v>
      </c>
      <c r="H24" s="19" t="s">
        <v>550</v>
      </c>
      <c r="I24" s="4"/>
      <c r="J24" s="4"/>
      <c r="K24" s="4"/>
      <c r="L24" s="4"/>
      <c r="M24" s="4"/>
    </row>
    <row r="25" spans="1:13">
      <c r="A25" s="49" t="s">
        <v>543</v>
      </c>
      <c r="B25" s="1"/>
      <c r="C25" s="1"/>
      <c r="D25" s="1"/>
      <c r="E25" s="5" t="s">
        <v>68</v>
      </c>
      <c r="F25" s="5"/>
      <c r="G25" s="5" t="s">
        <v>551</v>
      </c>
      <c r="H25" s="5" t="s">
        <v>552</v>
      </c>
      <c r="I25" s="8" t="s">
        <v>19</v>
      </c>
      <c r="J25" s="1"/>
      <c r="K25" s="1"/>
      <c r="L25" s="1"/>
      <c r="M25" s="1"/>
    </row>
  </sheetData>
  <phoneticPr fontId="1" type="noConversion"/>
  <conditionalFormatting sqref="I1:I8 I10:I11 I13:I18 I20:I21 I23 I25">
    <cfRule type="cellIs" dxfId="19" priority="1" stopIfTrue="1" operator="equal">
      <formula>"Deferred"</formula>
    </cfRule>
    <cfRule type="cellIs" dxfId="18" priority="2" operator="equal">
      <formula>"Not Applicable"</formula>
    </cfRule>
    <cfRule type="cellIs" dxfId="17" priority="3" operator="equal">
      <formula>"Pass"</formula>
    </cfRule>
    <cfRule type="cellIs" dxfId="16" priority="4" operator="equal">
      <formula>"Fail"</formula>
    </cfRule>
    <cfRule type="cellIs" dxfId="15" priority="5" operator="equal">
      <formula>"In progress"</formula>
    </cfRule>
  </conditionalFormatting>
  <dataValidations count="1">
    <dataValidation type="list" allowBlank="1" showInputMessage="1" showErrorMessage="1" sqref="I20:I21 I10:I11 I23 I13:I18 I3:I8 I25" xr:uid="{1657D1BE-BF44-49BB-8D97-AED442FE61B1}">
      <formula1>"Pass,Fail,Deferred,Not Valid,Not Applicable,In Progress,No Run"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C48709F-1362-4A4F-BBA8-3B9D909BAC17}">
          <x14:formula1>
            <xm:f>'Case install'!$B$1048553:$B$1048576</xm:f>
          </x14:formula1>
          <xm:sqref>K3:K6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D571-41D0-48E3-834F-0C4C9DE3377C}">
  <dimension ref="A1:L23"/>
  <sheetViews>
    <sheetView workbookViewId="0">
      <selection activeCell="A2" sqref="A2"/>
    </sheetView>
  </sheetViews>
  <sheetFormatPr defaultColWidth="17.140625" defaultRowHeight="14.45"/>
  <cols>
    <col min="2" max="2" width="22.7109375" customWidth="1"/>
    <col min="3" max="3" width="12.28515625" bestFit="1" customWidth="1"/>
    <col min="4" max="4" width="15.85546875" bestFit="1" customWidth="1"/>
    <col min="5" max="5" width="4.140625" bestFit="1" customWidth="1"/>
    <col min="6" max="6" width="35.7109375" customWidth="1"/>
    <col min="7" max="7" width="36.28515625" customWidth="1"/>
    <col min="8" max="8" width="8.28515625" bestFit="1" customWidth="1"/>
    <col min="9" max="9" width="11.28515625" bestFit="1" customWidth="1"/>
    <col min="10" max="11" width="11.85546875" bestFit="1" customWidth="1"/>
    <col min="12" max="12" width="26.42578125" customWidth="1"/>
  </cols>
  <sheetData>
    <row r="1" spans="1:12" ht="43.15">
      <c r="A1" s="2" t="s">
        <v>0</v>
      </c>
      <c r="B1" s="2" t="s">
        <v>1</v>
      </c>
      <c r="C1" s="2" t="s">
        <v>2</v>
      </c>
      <c r="D1" s="2" t="s">
        <v>3</v>
      </c>
      <c r="E1" s="2" t="s">
        <v>4</v>
      </c>
      <c r="F1" s="2" t="s">
        <v>5</v>
      </c>
      <c r="G1" s="2" t="s">
        <v>6</v>
      </c>
      <c r="H1" s="2" t="s">
        <v>7</v>
      </c>
      <c r="I1" s="2" t="s">
        <v>8</v>
      </c>
      <c r="J1" s="2" t="s">
        <v>9</v>
      </c>
      <c r="K1" s="2" t="s">
        <v>10</v>
      </c>
      <c r="L1" s="2" t="s">
        <v>11</v>
      </c>
    </row>
    <row r="2" spans="1:12">
      <c r="A2" s="49" t="s">
        <v>553</v>
      </c>
      <c r="B2" s="4" t="s">
        <v>553</v>
      </c>
      <c r="C2" s="4"/>
      <c r="D2" s="4"/>
      <c r="E2" s="4"/>
      <c r="F2" s="4"/>
      <c r="G2" s="4"/>
      <c r="H2" s="4"/>
      <c r="I2" s="4"/>
      <c r="J2" s="4"/>
      <c r="K2" s="4"/>
      <c r="L2" s="4"/>
    </row>
    <row r="3" spans="1:12" ht="28.9">
      <c r="A3" s="49" t="s">
        <v>553</v>
      </c>
      <c r="B3" s="5"/>
      <c r="C3" s="5"/>
      <c r="D3" s="5"/>
      <c r="E3" s="5" t="s">
        <v>16</v>
      </c>
      <c r="F3" s="5" t="s">
        <v>554</v>
      </c>
      <c r="G3" s="5" t="s">
        <v>555</v>
      </c>
      <c r="H3" s="8" t="s">
        <v>19</v>
      </c>
      <c r="I3" s="5"/>
      <c r="J3" s="5" t="s">
        <v>268</v>
      </c>
      <c r="K3" s="5"/>
      <c r="L3" s="5"/>
    </row>
    <row r="4" spans="1:12" ht="43.15">
      <c r="A4" s="49" t="s">
        <v>553</v>
      </c>
      <c r="B4" s="5"/>
      <c r="C4" s="5"/>
      <c r="D4" s="5"/>
      <c r="E4" s="5" t="s">
        <v>21</v>
      </c>
      <c r="F4" s="5" t="s">
        <v>556</v>
      </c>
      <c r="G4" s="5" t="s">
        <v>557</v>
      </c>
      <c r="H4" s="8" t="s">
        <v>19</v>
      </c>
      <c r="I4" s="5"/>
      <c r="J4" s="5"/>
      <c r="K4" s="5"/>
      <c r="L4" s="5"/>
    </row>
    <row r="5" spans="1:12" ht="28.9">
      <c r="A5" s="49" t="s">
        <v>553</v>
      </c>
      <c r="B5" s="5"/>
      <c r="C5" s="5"/>
      <c r="D5" s="5"/>
      <c r="E5" s="5" t="s">
        <v>24</v>
      </c>
      <c r="F5" s="5" t="s">
        <v>558</v>
      </c>
      <c r="G5" s="5" t="s">
        <v>559</v>
      </c>
      <c r="H5" s="8" t="s">
        <v>19</v>
      </c>
      <c r="I5" s="5"/>
      <c r="J5" s="5"/>
      <c r="K5" s="5"/>
      <c r="L5" s="5"/>
    </row>
    <row r="6" spans="1:12" ht="28.9">
      <c r="A6" s="49" t="s">
        <v>553</v>
      </c>
      <c r="B6" s="5"/>
      <c r="C6" s="5"/>
      <c r="D6" s="5"/>
      <c r="E6" s="5" t="s">
        <v>27</v>
      </c>
      <c r="F6" s="5" t="s">
        <v>560</v>
      </c>
      <c r="G6" s="5" t="s">
        <v>561</v>
      </c>
      <c r="H6" s="8" t="s">
        <v>19</v>
      </c>
      <c r="I6" s="5"/>
      <c r="J6" s="5" t="s">
        <v>268</v>
      </c>
      <c r="K6" s="5"/>
      <c r="L6" s="5"/>
    </row>
    <row r="7" spans="1:12" ht="43.15">
      <c r="A7" s="49" t="s">
        <v>553</v>
      </c>
      <c r="B7" s="5"/>
      <c r="C7" s="5"/>
      <c r="D7" s="5"/>
      <c r="E7" s="5" t="s">
        <v>30</v>
      </c>
      <c r="F7" s="5" t="s">
        <v>562</v>
      </c>
      <c r="G7" s="5" t="s">
        <v>563</v>
      </c>
      <c r="H7" s="8" t="s">
        <v>19</v>
      </c>
      <c r="I7" s="5"/>
      <c r="J7" s="5"/>
      <c r="K7" s="5"/>
      <c r="L7" s="5"/>
    </row>
    <row r="8" spans="1:12" ht="28.9">
      <c r="A8" s="49" t="s">
        <v>553</v>
      </c>
      <c r="B8" s="5"/>
      <c r="C8" s="5"/>
      <c r="D8" s="5"/>
      <c r="E8" s="5" t="s">
        <v>33</v>
      </c>
      <c r="F8" s="5" t="s">
        <v>564</v>
      </c>
      <c r="G8" s="5" t="s">
        <v>565</v>
      </c>
      <c r="H8" s="8" t="s">
        <v>19</v>
      </c>
      <c r="I8" s="5"/>
      <c r="J8" s="5"/>
      <c r="K8" s="5"/>
      <c r="L8" s="5"/>
    </row>
    <row r="9" spans="1:12" ht="28.9">
      <c r="A9" s="49" t="s">
        <v>553</v>
      </c>
      <c r="B9" s="5"/>
      <c r="C9" s="5"/>
      <c r="D9" s="5"/>
      <c r="E9" s="5" t="s">
        <v>36</v>
      </c>
      <c r="F9" s="5" t="s">
        <v>566</v>
      </c>
      <c r="G9" s="5" t="s">
        <v>567</v>
      </c>
      <c r="H9" s="8" t="s">
        <v>19</v>
      </c>
      <c r="I9" s="5"/>
      <c r="J9" s="5"/>
      <c r="K9" s="5"/>
      <c r="L9" s="5"/>
    </row>
    <row r="10" spans="1:12" ht="43.15">
      <c r="A10" s="49" t="s">
        <v>553</v>
      </c>
      <c r="B10" s="5"/>
      <c r="C10" s="5"/>
      <c r="D10" s="5"/>
      <c r="E10" s="5" t="s">
        <v>39</v>
      </c>
      <c r="F10" s="5" t="s">
        <v>568</v>
      </c>
      <c r="G10" s="5" t="s">
        <v>569</v>
      </c>
      <c r="H10" s="8" t="s">
        <v>19</v>
      </c>
      <c r="I10" s="5"/>
      <c r="J10" s="5"/>
      <c r="K10" s="5"/>
      <c r="L10" s="5"/>
    </row>
    <row r="11" spans="1:12" ht="28.9">
      <c r="A11" s="49" t="s">
        <v>553</v>
      </c>
      <c r="B11" s="5"/>
      <c r="C11" s="5"/>
      <c r="D11" s="5"/>
      <c r="E11" s="5" t="s">
        <v>42</v>
      </c>
      <c r="F11" s="5" t="s">
        <v>570</v>
      </c>
      <c r="G11" s="5" t="s">
        <v>571</v>
      </c>
      <c r="H11" s="8" t="s">
        <v>19</v>
      </c>
      <c r="I11" s="5"/>
      <c r="J11" s="5"/>
      <c r="K11" s="5"/>
      <c r="L11" s="5"/>
    </row>
    <row r="12" spans="1:12" ht="43.15">
      <c r="A12" s="49" t="s">
        <v>553</v>
      </c>
      <c r="B12" s="5"/>
      <c r="C12" s="5"/>
      <c r="D12" s="5"/>
      <c r="E12" s="5" t="s">
        <v>45</v>
      </c>
      <c r="F12" s="5" t="s">
        <v>572</v>
      </c>
      <c r="G12" s="5" t="s">
        <v>573</v>
      </c>
      <c r="H12" s="8" t="s">
        <v>19</v>
      </c>
      <c r="I12" s="5"/>
      <c r="J12" s="5"/>
      <c r="K12" s="5"/>
      <c r="L12" s="5" t="s">
        <v>574</v>
      </c>
    </row>
    <row r="13" spans="1:12" ht="43.15">
      <c r="A13" s="49" t="s">
        <v>553</v>
      </c>
      <c r="B13" s="5"/>
      <c r="C13" s="5"/>
      <c r="D13" s="5"/>
      <c r="E13" s="5" t="s">
        <v>48</v>
      </c>
      <c r="F13" s="5" t="s">
        <v>575</v>
      </c>
      <c r="G13" s="5" t="s">
        <v>576</v>
      </c>
      <c r="H13" s="8" t="s">
        <v>19</v>
      </c>
      <c r="I13" s="5"/>
      <c r="J13" s="5"/>
      <c r="K13" s="5"/>
      <c r="L13" s="5" t="s">
        <v>574</v>
      </c>
    </row>
    <row r="14" spans="1:12" ht="43.15">
      <c r="A14" s="49" t="s">
        <v>553</v>
      </c>
      <c r="B14" s="5"/>
      <c r="C14" s="5"/>
      <c r="D14" s="5"/>
      <c r="E14" s="5" t="s">
        <v>51</v>
      </c>
      <c r="F14" s="5" t="s">
        <v>577</v>
      </c>
      <c r="G14" s="5" t="s">
        <v>578</v>
      </c>
      <c r="H14" s="8" t="s">
        <v>19</v>
      </c>
      <c r="I14" s="5"/>
      <c r="J14" s="5"/>
      <c r="K14" s="5"/>
      <c r="L14" s="5" t="s">
        <v>574</v>
      </c>
    </row>
    <row r="15" spans="1:12" ht="43.15">
      <c r="A15" s="49" t="s">
        <v>553</v>
      </c>
      <c r="B15" s="5"/>
      <c r="C15" s="5"/>
      <c r="D15" s="5"/>
      <c r="E15" s="5" t="s">
        <v>56</v>
      </c>
      <c r="F15" s="5" t="s">
        <v>579</v>
      </c>
      <c r="G15" s="5" t="s">
        <v>580</v>
      </c>
      <c r="H15" s="8" t="s">
        <v>19</v>
      </c>
      <c r="I15" s="5"/>
      <c r="J15" s="5"/>
      <c r="K15" s="5"/>
      <c r="L15" s="5" t="s">
        <v>574</v>
      </c>
    </row>
    <row r="16" spans="1:12" ht="86.45">
      <c r="A16" s="49" t="s">
        <v>553</v>
      </c>
      <c r="B16" s="5"/>
      <c r="C16" s="5"/>
      <c r="D16" s="5"/>
      <c r="E16" s="5" t="s">
        <v>59</v>
      </c>
      <c r="F16" s="5" t="s">
        <v>581</v>
      </c>
      <c r="G16" s="5" t="s">
        <v>582</v>
      </c>
      <c r="H16" s="8" t="s">
        <v>19</v>
      </c>
      <c r="I16" s="5"/>
      <c r="J16" s="5"/>
      <c r="K16" s="5"/>
      <c r="L16" s="5" t="s">
        <v>574</v>
      </c>
    </row>
    <row r="17" spans="1:12" ht="43.15">
      <c r="A17" s="49" t="s">
        <v>553</v>
      </c>
      <c r="B17" s="5"/>
      <c r="C17" s="5"/>
      <c r="D17" s="5"/>
      <c r="E17" s="5" t="s">
        <v>62</v>
      </c>
      <c r="F17" s="5" t="s">
        <v>583</v>
      </c>
      <c r="G17" s="5" t="s">
        <v>584</v>
      </c>
      <c r="H17" s="8" t="s">
        <v>19</v>
      </c>
      <c r="I17" s="5"/>
      <c r="J17" s="5"/>
      <c r="K17" s="5"/>
      <c r="L17" s="5" t="s">
        <v>574</v>
      </c>
    </row>
    <row r="18" spans="1:12" ht="43.15">
      <c r="A18" s="49" t="s">
        <v>553</v>
      </c>
      <c r="B18" s="5"/>
      <c r="C18" s="5"/>
      <c r="D18" s="5"/>
      <c r="E18" s="5" t="s">
        <v>65</v>
      </c>
      <c r="F18" s="5" t="s">
        <v>585</v>
      </c>
      <c r="G18" s="5" t="s">
        <v>586</v>
      </c>
      <c r="H18" s="8" t="s">
        <v>19</v>
      </c>
      <c r="I18" s="5"/>
      <c r="J18" s="5"/>
      <c r="K18" s="5"/>
      <c r="L18" s="5" t="s">
        <v>574</v>
      </c>
    </row>
    <row r="19" spans="1:12" ht="43.15">
      <c r="A19" s="49" t="s">
        <v>553</v>
      </c>
      <c r="B19" s="5"/>
      <c r="C19" s="5"/>
      <c r="D19" s="5"/>
      <c r="E19" s="5" t="s">
        <v>68</v>
      </c>
      <c r="F19" s="5" t="s">
        <v>587</v>
      </c>
      <c r="G19" s="5" t="s">
        <v>588</v>
      </c>
      <c r="H19" s="8" t="s">
        <v>19</v>
      </c>
      <c r="I19" s="5"/>
      <c r="J19" s="5"/>
      <c r="K19" s="5"/>
      <c r="L19" s="5" t="s">
        <v>574</v>
      </c>
    </row>
    <row r="20" spans="1:12" ht="43.15">
      <c r="A20" s="49" t="s">
        <v>553</v>
      </c>
      <c r="B20" s="5"/>
      <c r="C20" s="5"/>
      <c r="D20" s="5"/>
      <c r="E20" s="5" t="s">
        <v>71</v>
      </c>
      <c r="F20" s="5" t="s">
        <v>589</v>
      </c>
      <c r="G20" s="5" t="s">
        <v>590</v>
      </c>
      <c r="H20" s="8" t="s">
        <v>19</v>
      </c>
      <c r="I20" s="5"/>
      <c r="J20" s="5"/>
      <c r="K20" s="5"/>
      <c r="L20" s="5" t="s">
        <v>574</v>
      </c>
    </row>
    <row r="21" spans="1:12" ht="57.6">
      <c r="A21" s="49" t="s">
        <v>553</v>
      </c>
      <c r="B21" s="5"/>
      <c r="C21" s="5"/>
      <c r="D21" s="5"/>
      <c r="E21" s="5" t="s">
        <v>74</v>
      </c>
      <c r="F21" s="5" t="s">
        <v>591</v>
      </c>
      <c r="G21" s="5" t="s">
        <v>592</v>
      </c>
      <c r="H21" s="8" t="s">
        <v>19</v>
      </c>
      <c r="I21" s="5"/>
      <c r="J21" s="5"/>
      <c r="K21" s="5"/>
      <c r="L21" s="5" t="s">
        <v>574</v>
      </c>
    </row>
    <row r="22" spans="1:12" ht="43.15">
      <c r="A22" s="49" t="s">
        <v>553</v>
      </c>
      <c r="B22" s="5"/>
      <c r="C22" s="5"/>
      <c r="D22" s="5"/>
      <c r="E22" s="5" t="s">
        <v>77</v>
      </c>
      <c r="F22" s="5" t="s">
        <v>593</v>
      </c>
      <c r="G22" s="5" t="s">
        <v>594</v>
      </c>
      <c r="H22" s="8" t="s">
        <v>19</v>
      </c>
      <c r="I22" s="5"/>
      <c r="J22" s="5"/>
      <c r="K22" s="5"/>
      <c r="L22" s="5" t="s">
        <v>574</v>
      </c>
    </row>
    <row r="23" spans="1:12" ht="72">
      <c r="A23" s="49" t="s">
        <v>553</v>
      </c>
      <c r="B23" s="5"/>
      <c r="C23" s="5"/>
      <c r="D23" s="5"/>
      <c r="E23" s="5" t="s">
        <v>81</v>
      </c>
      <c r="F23" s="5" t="s">
        <v>595</v>
      </c>
      <c r="G23" s="5" t="s">
        <v>596</v>
      </c>
      <c r="H23" s="8" t="s">
        <v>19</v>
      </c>
      <c r="I23" s="5"/>
      <c r="J23" s="5"/>
      <c r="K23" s="5"/>
      <c r="L23" s="5" t="s">
        <v>574</v>
      </c>
    </row>
  </sheetData>
  <phoneticPr fontId="1" type="noConversion"/>
  <conditionalFormatting sqref="H1:H23">
    <cfRule type="cellIs" dxfId="14" priority="1" stopIfTrue="1" operator="equal">
      <formula>"Deferred"</formula>
    </cfRule>
    <cfRule type="cellIs" dxfId="13" priority="2" operator="equal">
      <formula>"Not Applicable"</formula>
    </cfRule>
    <cfRule type="cellIs" dxfId="12" priority="3" operator="equal">
      <formula>"Pass"</formula>
    </cfRule>
    <cfRule type="cellIs" dxfId="11" priority="4" operator="equal">
      <formula>"Fail"</formula>
    </cfRule>
    <cfRule type="cellIs" dxfId="10" priority="5" operator="equal">
      <formula>"In progress"</formula>
    </cfRule>
  </conditionalFormatting>
  <dataValidations count="1">
    <dataValidation type="list" allowBlank="1" showInputMessage="1" showErrorMessage="1" sqref="H3:H23" xr:uid="{326EEDCE-6C0C-40ED-84B5-A93ABEDA2C15}">
      <formula1>"Pass,Fail,Deferred,Not Valid,Not Applicable,In Progress,No Run"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D547B95-3720-49B2-B12C-7747C9B5E4C4}">
          <x14:formula1>
            <xm:f>'Case install'!$B$1048553:$B$1048576</xm:f>
          </x14:formula1>
          <xm:sqref>J3:J23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C7B6-99DF-40B0-BB19-73E75204FBCD}">
  <dimension ref="A1:XEV96"/>
  <sheetViews>
    <sheetView workbookViewId="0">
      <pane ySplit="1" topLeftCell="A91" activePane="bottomLeft" state="frozen"/>
      <selection pane="bottomLeft" activeCell="A2" sqref="A2"/>
    </sheetView>
  </sheetViews>
  <sheetFormatPr defaultColWidth="45.7109375" defaultRowHeight="14.45"/>
  <cols>
    <col min="1" max="1" width="18.85546875" customWidth="1"/>
    <col min="2" max="2" width="21.7109375" bestFit="1" customWidth="1"/>
    <col min="3" max="4" width="8.7109375" bestFit="1" customWidth="1"/>
    <col min="5" max="5" width="6.5703125" customWidth="1"/>
    <col min="6" max="6" width="29.140625" bestFit="1" customWidth="1"/>
    <col min="7" max="7" width="47.28515625" customWidth="1"/>
    <col min="8" max="8" width="49.42578125" customWidth="1"/>
    <col min="9" max="9" width="8.28515625" bestFit="1" customWidth="1"/>
    <col min="10" max="10" width="11.28515625" bestFit="1" customWidth="1"/>
    <col min="11" max="12" width="11.85546875" bestFit="1" customWidth="1"/>
    <col min="13" max="13" width="15.7109375" bestFit="1" customWidth="1"/>
  </cols>
  <sheetData>
    <row r="1" spans="1:13" ht="34.9" customHeight="1">
      <c r="A1" s="2" t="s">
        <v>0</v>
      </c>
      <c r="B1" s="2" t="s">
        <v>1</v>
      </c>
      <c r="C1" s="2" t="s">
        <v>2</v>
      </c>
      <c r="D1" s="2" t="s">
        <v>3</v>
      </c>
      <c r="E1" s="2" t="s">
        <v>4</v>
      </c>
      <c r="F1" s="2" t="s">
        <v>597</v>
      </c>
      <c r="G1" s="21" t="s">
        <v>5</v>
      </c>
      <c r="H1" s="21" t="s">
        <v>6</v>
      </c>
      <c r="I1" s="2" t="s">
        <v>7</v>
      </c>
      <c r="J1" s="2" t="s">
        <v>8</v>
      </c>
      <c r="K1" s="2" t="s">
        <v>9</v>
      </c>
      <c r="L1" s="2" t="s">
        <v>10</v>
      </c>
      <c r="M1" s="2" t="s">
        <v>11</v>
      </c>
    </row>
    <row r="2" spans="1:13" ht="252">
      <c r="A2" s="49" t="s">
        <v>598</v>
      </c>
      <c r="B2" s="4" t="s">
        <v>599</v>
      </c>
      <c r="C2" s="4"/>
      <c r="D2" s="4"/>
      <c r="E2" s="4"/>
      <c r="F2" s="4" t="s">
        <v>600</v>
      </c>
      <c r="G2" s="20" t="s">
        <v>601</v>
      </c>
      <c r="H2" s="20" t="s">
        <v>602</v>
      </c>
      <c r="I2" s="4"/>
      <c r="J2" s="4"/>
      <c r="K2" s="4"/>
      <c r="L2" s="4"/>
      <c r="M2" s="4"/>
    </row>
    <row r="3" spans="1:13" ht="28.9">
      <c r="A3" s="49" t="s">
        <v>598</v>
      </c>
      <c r="B3" s="5"/>
      <c r="C3" s="5"/>
      <c r="D3" s="5"/>
      <c r="E3" s="5" t="s">
        <v>16</v>
      </c>
      <c r="F3" s="5" t="s">
        <v>603</v>
      </c>
      <c r="G3" s="5" t="s">
        <v>604</v>
      </c>
      <c r="H3" s="5" t="s">
        <v>605</v>
      </c>
      <c r="I3" s="8" t="s">
        <v>19</v>
      </c>
      <c r="J3" s="5"/>
      <c r="K3" s="5" t="s">
        <v>268</v>
      </c>
      <c r="L3" s="5"/>
      <c r="M3" s="5"/>
    </row>
    <row r="4" spans="1:13" ht="28.9">
      <c r="A4" s="49" t="s">
        <v>598</v>
      </c>
      <c r="B4" s="5"/>
      <c r="C4" s="5"/>
      <c r="D4" s="5"/>
      <c r="E4" s="5" t="s">
        <v>21</v>
      </c>
      <c r="F4" s="5" t="s">
        <v>606</v>
      </c>
      <c r="G4" s="5" t="s">
        <v>607</v>
      </c>
      <c r="H4" s="5" t="s">
        <v>608</v>
      </c>
      <c r="I4" s="8" t="s">
        <v>19</v>
      </c>
      <c r="J4" s="5"/>
      <c r="K4" s="5"/>
      <c r="L4" s="5"/>
      <c r="M4" s="5"/>
    </row>
    <row r="5" spans="1:13" ht="43.15">
      <c r="A5" s="49" t="s">
        <v>598</v>
      </c>
      <c r="B5" s="5"/>
      <c r="C5" s="5"/>
      <c r="D5" s="5"/>
      <c r="E5" s="5" t="s">
        <v>24</v>
      </c>
      <c r="F5" s="5" t="s">
        <v>609</v>
      </c>
      <c r="G5" s="5" t="s">
        <v>610</v>
      </c>
      <c r="H5" s="5" t="s">
        <v>611</v>
      </c>
      <c r="I5" s="8" t="s">
        <v>19</v>
      </c>
      <c r="J5" s="5"/>
      <c r="K5" s="5"/>
      <c r="L5" s="5"/>
      <c r="M5" s="5"/>
    </row>
    <row r="6" spans="1:13" ht="43.15">
      <c r="A6" s="49" t="s">
        <v>598</v>
      </c>
      <c r="B6" s="5"/>
      <c r="C6" s="5"/>
      <c r="D6" s="5"/>
      <c r="E6" s="5" t="s">
        <v>27</v>
      </c>
      <c r="F6" s="5" t="s">
        <v>612</v>
      </c>
      <c r="G6" s="5" t="s">
        <v>613</v>
      </c>
      <c r="H6" s="5" t="s">
        <v>614</v>
      </c>
      <c r="I6" s="8" t="s">
        <v>19</v>
      </c>
      <c r="J6" s="5"/>
      <c r="K6" s="5"/>
      <c r="L6" s="5"/>
      <c r="M6" s="5"/>
    </row>
    <row r="7" spans="1:13" ht="43.15">
      <c r="A7" s="49" t="s">
        <v>598</v>
      </c>
      <c r="B7" s="5"/>
      <c r="C7" s="5"/>
      <c r="D7" s="5"/>
      <c r="E7" s="5" t="s">
        <v>30</v>
      </c>
      <c r="F7" s="5" t="s">
        <v>615</v>
      </c>
      <c r="G7" s="5" t="s">
        <v>616</v>
      </c>
      <c r="H7" s="5" t="s">
        <v>617</v>
      </c>
      <c r="I7" s="8" t="s">
        <v>19</v>
      </c>
      <c r="J7" s="5"/>
      <c r="K7" s="5"/>
      <c r="L7" s="5"/>
      <c r="M7" s="5"/>
    </row>
    <row r="8" spans="1:13" ht="43.15">
      <c r="A8" s="49" t="s">
        <v>598</v>
      </c>
      <c r="B8" s="5"/>
      <c r="C8" s="5"/>
      <c r="D8" s="5"/>
      <c r="E8" s="5" t="s">
        <v>33</v>
      </c>
      <c r="F8" s="5" t="s">
        <v>618</v>
      </c>
      <c r="G8" s="5" t="s">
        <v>619</v>
      </c>
      <c r="H8" s="5" t="s">
        <v>620</v>
      </c>
      <c r="I8" s="8" t="s">
        <v>19</v>
      </c>
      <c r="J8" s="5"/>
      <c r="K8" s="5"/>
      <c r="L8" s="5"/>
      <c r="M8" s="5"/>
    </row>
    <row r="9" spans="1:13" ht="28.9">
      <c r="A9" s="49" t="s">
        <v>598</v>
      </c>
      <c r="B9" s="5"/>
      <c r="C9" s="5"/>
      <c r="D9" s="5"/>
      <c r="E9" s="5" t="s">
        <v>36</v>
      </c>
      <c r="F9" s="5" t="s">
        <v>621</v>
      </c>
      <c r="G9" s="5" t="s">
        <v>622</v>
      </c>
      <c r="H9" s="5" t="s">
        <v>623</v>
      </c>
      <c r="I9" s="8" t="s">
        <v>19</v>
      </c>
      <c r="J9" s="5"/>
      <c r="K9" s="5"/>
      <c r="L9" s="5"/>
      <c r="M9" s="5"/>
    </row>
    <row r="10" spans="1:13">
      <c r="A10" s="49" t="s">
        <v>598</v>
      </c>
      <c r="B10" s="4"/>
      <c r="C10" s="4"/>
      <c r="D10" s="4"/>
      <c r="E10" s="4"/>
      <c r="F10" s="4"/>
      <c r="G10" s="4" t="s">
        <v>624</v>
      </c>
      <c r="H10" s="20"/>
      <c r="I10" s="4"/>
      <c r="J10" s="4"/>
      <c r="K10" s="4"/>
      <c r="L10" s="4"/>
      <c r="M10" s="4"/>
    </row>
    <row r="11" spans="1:13" ht="43.15">
      <c r="A11" s="49" t="s">
        <v>598</v>
      </c>
      <c r="B11" s="5"/>
      <c r="C11" s="5"/>
      <c r="D11" s="5"/>
      <c r="E11" s="5" t="s">
        <v>39</v>
      </c>
      <c r="F11" s="5" t="s">
        <v>625</v>
      </c>
      <c r="G11" s="5" t="s">
        <v>626</v>
      </c>
      <c r="H11" s="5" t="s">
        <v>627</v>
      </c>
      <c r="I11" s="8" t="s">
        <v>19</v>
      </c>
      <c r="J11" s="5"/>
      <c r="K11" s="5" t="s">
        <v>268</v>
      </c>
      <c r="L11" s="5"/>
      <c r="M11" s="5"/>
    </row>
    <row r="12" spans="1:13" ht="57.6">
      <c r="A12" s="49" t="s">
        <v>598</v>
      </c>
      <c r="B12" s="5"/>
      <c r="C12" s="5"/>
      <c r="D12" s="5"/>
      <c r="E12" s="5" t="s">
        <v>42</v>
      </c>
      <c r="F12" s="5" t="s">
        <v>628</v>
      </c>
      <c r="G12" s="5" t="s">
        <v>629</v>
      </c>
      <c r="H12" s="5" t="s">
        <v>630</v>
      </c>
      <c r="I12" s="8" t="s">
        <v>19</v>
      </c>
      <c r="J12" s="5"/>
      <c r="K12" s="5" t="s">
        <v>268</v>
      </c>
      <c r="L12" s="5"/>
      <c r="M12" s="5"/>
    </row>
    <row r="13" spans="1:13" ht="43.15">
      <c r="A13" s="49" t="s">
        <v>598</v>
      </c>
      <c r="B13" s="5"/>
      <c r="C13" s="5"/>
      <c r="D13" s="5"/>
      <c r="E13" s="5" t="s">
        <v>45</v>
      </c>
      <c r="F13" s="5" t="s">
        <v>631</v>
      </c>
      <c r="G13" s="5" t="s">
        <v>632</v>
      </c>
      <c r="H13" s="5" t="s">
        <v>633</v>
      </c>
      <c r="I13" s="8" t="s">
        <v>19</v>
      </c>
      <c r="J13" s="5"/>
      <c r="K13" s="5" t="s">
        <v>268</v>
      </c>
      <c r="L13" s="5"/>
      <c r="M13" s="5"/>
    </row>
    <row r="14" spans="1:13" ht="28.9">
      <c r="A14" s="49" t="s">
        <v>598</v>
      </c>
      <c r="B14" s="5"/>
      <c r="C14" s="5"/>
      <c r="D14" s="5"/>
      <c r="E14" s="5" t="s">
        <v>48</v>
      </c>
      <c r="F14" s="5" t="s">
        <v>634</v>
      </c>
      <c r="G14" s="5" t="s">
        <v>635</v>
      </c>
      <c r="H14" s="5" t="s">
        <v>636</v>
      </c>
      <c r="I14" s="8" t="s">
        <v>19</v>
      </c>
      <c r="J14" s="5"/>
      <c r="K14" s="5" t="s">
        <v>268</v>
      </c>
      <c r="L14" s="5"/>
      <c r="M14" s="5"/>
    </row>
    <row r="15" spans="1:13" ht="43.15">
      <c r="A15" s="49" t="s">
        <v>598</v>
      </c>
      <c r="B15" s="5"/>
      <c r="C15" s="5"/>
      <c r="D15" s="5"/>
      <c r="E15" s="5" t="s">
        <v>51</v>
      </c>
      <c r="F15" s="5" t="s">
        <v>637</v>
      </c>
      <c r="G15" s="5" t="s">
        <v>638</v>
      </c>
      <c r="H15" s="5" t="s">
        <v>639</v>
      </c>
      <c r="I15" s="8" t="s">
        <v>19</v>
      </c>
      <c r="J15" s="5"/>
      <c r="K15" s="5" t="s">
        <v>268</v>
      </c>
      <c r="L15" s="5"/>
      <c r="M15" s="5"/>
    </row>
    <row r="16" spans="1:13" ht="43.15">
      <c r="A16" s="49" t="s">
        <v>598</v>
      </c>
      <c r="B16" s="5"/>
      <c r="C16" s="5"/>
      <c r="D16" s="5"/>
      <c r="E16" s="5" t="s">
        <v>56</v>
      </c>
      <c r="F16" s="5" t="s">
        <v>640</v>
      </c>
      <c r="G16" s="5" t="s">
        <v>641</v>
      </c>
      <c r="H16" s="5" t="s">
        <v>642</v>
      </c>
      <c r="I16" s="8" t="s">
        <v>19</v>
      </c>
      <c r="J16" s="5"/>
      <c r="K16" s="5" t="s">
        <v>268</v>
      </c>
      <c r="L16" s="5"/>
      <c r="M16" s="5"/>
    </row>
    <row r="17" spans="1:13" ht="43.15">
      <c r="A17" s="49" t="s">
        <v>598</v>
      </c>
      <c r="B17" s="5"/>
      <c r="C17" s="5"/>
      <c r="D17" s="5"/>
      <c r="E17" s="5" t="s">
        <v>59</v>
      </c>
      <c r="F17" s="5" t="s">
        <v>643</v>
      </c>
      <c r="G17" s="5" t="s">
        <v>644</v>
      </c>
      <c r="H17" s="22" t="s">
        <v>645</v>
      </c>
      <c r="I17" s="8" t="s">
        <v>19</v>
      </c>
      <c r="J17" s="5"/>
      <c r="K17" s="5" t="s">
        <v>268</v>
      </c>
      <c r="L17" s="5"/>
      <c r="M17" s="5"/>
    </row>
    <row r="18" spans="1:13">
      <c r="A18" s="49" t="s">
        <v>598</v>
      </c>
      <c r="B18" s="4"/>
      <c r="C18" s="4"/>
      <c r="D18" s="4"/>
      <c r="E18" s="4"/>
      <c r="F18" s="4"/>
      <c r="G18" s="4" t="s">
        <v>646</v>
      </c>
      <c r="H18" s="20"/>
      <c r="I18" s="20"/>
      <c r="J18" s="4"/>
      <c r="K18" s="4"/>
      <c r="L18" s="4"/>
      <c r="M18" s="4"/>
    </row>
    <row r="19" spans="1:13" ht="43.15">
      <c r="A19" s="49" t="s">
        <v>598</v>
      </c>
      <c r="B19" s="5"/>
      <c r="C19" s="5"/>
      <c r="D19" s="5"/>
      <c r="E19" s="5" t="s">
        <v>62</v>
      </c>
      <c r="F19" s="5" t="s">
        <v>647</v>
      </c>
      <c r="G19" s="5" t="s">
        <v>648</v>
      </c>
      <c r="H19" s="5" t="s">
        <v>649</v>
      </c>
      <c r="I19" s="8" t="s">
        <v>19</v>
      </c>
      <c r="J19" s="5"/>
      <c r="K19" s="5" t="s">
        <v>268</v>
      </c>
      <c r="L19" s="5"/>
      <c r="M19" s="5"/>
    </row>
    <row r="20" spans="1:13" ht="57.6">
      <c r="A20" s="49" t="s">
        <v>598</v>
      </c>
      <c r="B20" s="5"/>
      <c r="C20" s="5"/>
      <c r="D20" s="5"/>
      <c r="E20" s="5" t="s">
        <v>65</v>
      </c>
      <c r="F20" s="5" t="s">
        <v>650</v>
      </c>
      <c r="G20" s="5" t="s">
        <v>651</v>
      </c>
      <c r="H20" s="5" t="s">
        <v>652</v>
      </c>
      <c r="I20" s="8" t="s">
        <v>19</v>
      </c>
      <c r="J20" s="5"/>
      <c r="K20" s="5" t="s">
        <v>268</v>
      </c>
      <c r="L20" s="5"/>
      <c r="M20" s="5"/>
    </row>
    <row r="21" spans="1:13" ht="28.9">
      <c r="A21" s="49" t="s">
        <v>598</v>
      </c>
      <c r="B21" s="5"/>
      <c r="C21" s="5"/>
      <c r="D21" s="5"/>
      <c r="E21" s="5" t="s">
        <v>68</v>
      </c>
      <c r="F21" s="5" t="s">
        <v>653</v>
      </c>
      <c r="G21" s="5" t="s">
        <v>654</v>
      </c>
      <c r="H21" s="5" t="s">
        <v>655</v>
      </c>
      <c r="I21" s="8" t="s">
        <v>19</v>
      </c>
      <c r="J21" s="5"/>
      <c r="K21" s="5" t="s">
        <v>268</v>
      </c>
      <c r="L21" s="5"/>
      <c r="M21" s="5"/>
    </row>
    <row r="22" spans="1:13" ht="57.6">
      <c r="A22" s="49" t="s">
        <v>598</v>
      </c>
      <c r="B22" s="5"/>
      <c r="C22" s="5"/>
      <c r="D22" s="5"/>
      <c r="E22" s="5" t="s">
        <v>71</v>
      </c>
      <c r="F22" s="5" t="s">
        <v>656</v>
      </c>
      <c r="G22" s="5" t="s">
        <v>657</v>
      </c>
      <c r="H22" s="5" t="s">
        <v>658</v>
      </c>
      <c r="I22" s="8" t="s">
        <v>19</v>
      </c>
      <c r="J22" s="5"/>
      <c r="K22" s="5" t="s">
        <v>268</v>
      </c>
      <c r="L22" s="5"/>
      <c r="M22" s="5"/>
    </row>
    <row r="23" spans="1:13" ht="43.15">
      <c r="A23" s="49" t="s">
        <v>598</v>
      </c>
      <c r="B23" s="5"/>
      <c r="C23" s="5"/>
      <c r="D23" s="5"/>
      <c r="E23" s="5" t="s">
        <v>74</v>
      </c>
      <c r="F23" s="5" t="s">
        <v>659</v>
      </c>
      <c r="G23" s="5" t="s">
        <v>660</v>
      </c>
      <c r="H23" s="5" t="s">
        <v>661</v>
      </c>
      <c r="I23" s="8" t="s">
        <v>19</v>
      </c>
      <c r="J23" s="5"/>
      <c r="K23" s="5" t="s">
        <v>268</v>
      </c>
      <c r="L23" s="5"/>
      <c r="M23" s="5"/>
    </row>
    <row r="24" spans="1:13" ht="43.15">
      <c r="A24" s="49" t="s">
        <v>598</v>
      </c>
      <c r="B24" s="5"/>
      <c r="C24" s="5"/>
      <c r="D24" s="5"/>
      <c r="E24" s="5" t="s">
        <v>77</v>
      </c>
      <c r="F24" s="5" t="s">
        <v>662</v>
      </c>
      <c r="G24" s="5" t="s">
        <v>663</v>
      </c>
      <c r="H24" s="5" t="s">
        <v>664</v>
      </c>
      <c r="I24" s="8" t="s">
        <v>19</v>
      </c>
      <c r="J24" s="5"/>
      <c r="K24" s="5" t="s">
        <v>268</v>
      </c>
      <c r="L24" s="5"/>
      <c r="M24" s="5"/>
    </row>
    <row r="25" spans="1:13" ht="43.15">
      <c r="A25" s="49" t="s">
        <v>598</v>
      </c>
      <c r="B25" s="5"/>
      <c r="C25" s="5"/>
      <c r="D25" s="5"/>
      <c r="E25" s="5" t="s">
        <v>81</v>
      </c>
      <c r="F25" s="5" t="s">
        <v>665</v>
      </c>
      <c r="G25" s="5" t="s">
        <v>666</v>
      </c>
      <c r="H25" s="5" t="s">
        <v>667</v>
      </c>
      <c r="I25" s="8" t="s">
        <v>19</v>
      </c>
      <c r="J25" s="5"/>
      <c r="K25" s="5" t="s">
        <v>268</v>
      </c>
      <c r="L25" s="5"/>
      <c r="M25" s="5"/>
    </row>
    <row r="26" spans="1:13" ht="57.6">
      <c r="A26" s="49" t="s">
        <v>598</v>
      </c>
      <c r="B26" s="5"/>
      <c r="C26" s="5"/>
      <c r="D26" s="5"/>
      <c r="E26" s="5" t="s">
        <v>84</v>
      </c>
      <c r="F26" s="5" t="s">
        <v>668</v>
      </c>
      <c r="G26" s="5" t="s">
        <v>669</v>
      </c>
      <c r="H26" s="5" t="s">
        <v>670</v>
      </c>
      <c r="I26" s="8" t="s">
        <v>19</v>
      </c>
      <c r="J26" s="5"/>
      <c r="K26" s="5"/>
      <c r="L26" s="5"/>
      <c r="M26" s="5"/>
    </row>
    <row r="27" spans="1:13">
      <c r="A27" s="49" t="s">
        <v>598</v>
      </c>
      <c r="B27" s="4"/>
      <c r="C27" s="4"/>
      <c r="D27" s="4"/>
      <c r="E27" s="4"/>
      <c r="F27" s="4"/>
      <c r="G27" s="4" t="s">
        <v>671</v>
      </c>
      <c r="H27" s="20"/>
      <c r="I27" s="20"/>
      <c r="J27" s="4"/>
      <c r="K27" s="4"/>
      <c r="L27" s="4"/>
      <c r="M27" s="4"/>
    </row>
    <row r="28" spans="1:13" ht="28.9">
      <c r="A28" s="49" t="s">
        <v>598</v>
      </c>
      <c r="B28" s="5"/>
      <c r="C28" s="5"/>
      <c r="D28" s="5"/>
      <c r="E28" s="5" t="s">
        <v>87</v>
      </c>
      <c r="F28" s="5" t="s">
        <v>672</v>
      </c>
      <c r="G28" s="5" t="s">
        <v>673</v>
      </c>
      <c r="H28" t="s">
        <v>674</v>
      </c>
      <c r="I28" s="8" t="s">
        <v>19</v>
      </c>
      <c r="J28" s="5"/>
      <c r="K28" s="5" t="s">
        <v>268</v>
      </c>
      <c r="L28" s="5"/>
      <c r="M28" s="5"/>
    </row>
    <row r="29" spans="1:13" ht="43.15">
      <c r="A29" s="49" t="s">
        <v>598</v>
      </c>
      <c r="B29" s="5"/>
      <c r="C29" s="5"/>
      <c r="D29" s="5"/>
      <c r="E29" s="5" t="s">
        <v>90</v>
      </c>
      <c r="F29" s="5" t="s">
        <v>675</v>
      </c>
      <c r="G29" s="5" t="s">
        <v>676</v>
      </c>
      <c r="H29" s="5" t="s">
        <v>677</v>
      </c>
      <c r="I29" s="8" t="s">
        <v>19</v>
      </c>
      <c r="J29" s="5"/>
      <c r="K29" s="5" t="s">
        <v>268</v>
      </c>
      <c r="L29" s="5"/>
      <c r="M29" s="5"/>
    </row>
    <row r="30" spans="1:13" ht="43.15">
      <c r="A30" s="49" t="s">
        <v>598</v>
      </c>
      <c r="B30" s="5"/>
      <c r="C30" s="5"/>
      <c r="D30" s="5"/>
      <c r="E30" s="5" t="s">
        <v>93</v>
      </c>
      <c r="F30" s="5" t="s">
        <v>678</v>
      </c>
      <c r="G30" s="5" t="s">
        <v>679</v>
      </c>
      <c r="H30" s="5" t="s">
        <v>680</v>
      </c>
      <c r="I30" s="8" t="s">
        <v>19</v>
      </c>
      <c r="J30" s="5"/>
      <c r="K30" s="5" t="s">
        <v>268</v>
      </c>
      <c r="L30" s="5"/>
      <c r="M30" s="5"/>
    </row>
    <row r="31" spans="1:13" ht="86.45">
      <c r="A31" s="49" t="s">
        <v>598</v>
      </c>
      <c r="B31" s="5"/>
      <c r="C31" s="5"/>
      <c r="D31" s="5"/>
      <c r="E31" s="5" t="s">
        <v>96</v>
      </c>
      <c r="F31" s="5" t="s">
        <v>681</v>
      </c>
      <c r="G31" s="5" t="s">
        <v>682</v>
      </c>
      <c r="H31" s="5" t="s">
        <v>683</v>
      </c>
      <c r="I31" s="8" t="s">
        <v>19</v>
      </c>
      <c r="J31" s="5"/>
      <c r="K31" s="5" t="s">
        <v>268</v>
      </c>
      <c r="L31" s="5"/>
      <c r="M31" s="5"/>
    </row>
    <row r="32" spans="1:13" ht="28.9">
      <c r="A32" s="49" t="s">
        <v>598</v>
      </c>
      <c r="B32" s="5"/>
      <c r="C32" s="5"/>
      <c r="D32" s="5"/>
      <c r="E32" s="5" t="s">
        <v>99</v>
      </c>
      <c r="F32" s="5" t="s">
        <v>684</v>
      </c>
      <c r="G32" s="5" t="s">
        <v>685</v>
      </c>
      <c r="H32" s="5" t="s">
        <v>686</v>
      </c>
      <c r="I32" s="8" t="s">
        <v>19</v>
      </c>
      <c r="J32" s="5"/>
      <c r="K32" s="5" t="s">
        <v>268</v>
      </c>
      <c r="L32" s="5"/>
      <c r="M32" s="5"/>
    </row>
    <row r="33" spans="1:1016 1027:2048 2059:3068 3079:4088 4099:5120 5131:6140 6151:7160 7171:8192 8203:9212 9223:10232 10243:11264 11275:12284 12295:13304 13315:14336 14347:15356 15367:16376" ht="28.9">
      <c r="A33" s="49" t="s">
        <v>598</v>
      </c>
      <c r="B33" s="5"/>
      <c r="C33" s="5"/>
      <c r="D33" s="5"/>
      <c r="E33" s="5" t="s">
        <v>102</v>
      </c>
      <c r="F33" s="5" t="s">
        <v>687</v>
      </c>
      <c r="G33" s="5" t="s">
        <v>688</v>
      </c>
      <c r="H33" s="5" t="s">
        <v>689</v>
      </c>
      <c r="I33" s="8" t="s">
        <v>19</v>
      </c>
      <c r="J33" s="5"/>
      <c r="K33" s="5" t="s">
        <v>268</v>
      </c>
      <c r="L33" s="5"/>
      <c r="M33" s="5"/>
    </row>
    <row r="34" spans="1:1016 1027:2048 2059:3068 3079:4088 4099:5120 5131:6140 6151:7160 7171:8192 8203:9212 9223:10232 10243:11264 11275:12284 12295:13304 13315:14336 14347:15356 15367:16376" ht="43.15">
      <c r="A34" s="49" t="s">
        <v>598</v>
      </c>
      <c r="B34" s="5"/>
      <c r="C34" s="5"/>
      <c r="D34" s="5"/>
      <c r="E34" s="5" t="s">
        <v>105</v>
      </c>
      <c r="F34" s="5" t="s">
        <v>690</v>
      </c>
      <c r="G34" s="5" t="s">
        <v>691</v>
      </c>
      <c r="H34" s="5" t="s">
        <v>692</v>
      </c>
      <c r="I34" s="8" t="s">
        <v>19</v>
      </c>
      <c r="J34" s="5"/>
      <c r="K34" s="5" t="s">
        <v>268</v>
      </c>
      <c r="L34" s="5"/>
      <c r="M34" s="5"/>
    </row>
    <row r="35" spans="1:1016 1027:2048 2059:3068 3079:4088 4099:5120 5131:6140 6151:7160 7171:8192 8203:9212 9223:10232 10243:11264 11275:12284 12295:13304 13315:14336 14347:15356 15367:16376">
      <c r="A35" s="49" t="s">
        <v>598</v>
      </c>
      <c r="B35" s="4"/>
      <c r="C35" s="4"/>
      <c r="D35" s="4"/>
      <c r="E35" s="4"/>
      <c r="F35" s="4"/>
      <c r="G35" s="4" t="s">
        <v>693</v>
      </c>
      <c r="H35" s="20"/>
      <c r="I35" s="4"/>
      <c r="J35" s="4"/>
      <c r="K35" s="4"/>
      <c r="L35" s="4"/>
      <c r="M35" s="4"/>
    </row>
    <row r="36" spans="1:1016 1027:2048 2059:3068 3079:4088 4099:5120 5131:6140 6151:7160 7171:8192 8203:9212 9223:10232 10243:11264 11275:12284 12295:13304 13315:14336 14347:15356 15367:16376" ht="43.15">
      <c r="A36" s="49" t="s">
        <v>598</v>
      </c>
      <c r="B36" s="5"/>
      <c r="C36" s="5"/>
      <c r="D36" s="5"/>
      <c r="E36" s="5" t="s">
        <v>110</v>
      </c>
      <c r="F36" s="5" t="s">
        <v>694</v>
      </c>
      <c r="G36" s="5" t="s">
        <v>695</v>
      </c>
      <c r="H36" s="5" t="s">
        <v>696</v>
      </c>
      <c r="I36" s="8" t="s">
        <v>19</v>
      </c>
      <c r="J36" s="5"/>
      <c r="K36" s="5" t="s">
        <v>268</v>
      </c>
      <c r="L36" s="5"/>
      <c r="M36" s="5"/>
    </row>
    <row r="37" spans="1:1016 1027:2048 2059:3068 3079:4088 4099:5120 5131:6140 6151:7160 7171:8192 8203:9212 9223:10232 10243:11264 11275:12284 12295:13304 13315:14336 14347:15356 15367:16376" ht="192">
      <c r="A37" s="49" t="s">
        <v>697</v>
      </c>
      <c r="B37" s="4" t="s">
        <v>698</v>
      </c>
      <c r="C37" s="4"/>
      <c r="D37" s="4"/>
      <c r="E37" s="4"/>
      <c r="F37" s="4"/>
      <c r="G37" s="20" t="s">
        <v>699</v>
      </c>
      <c r="H37" s="20" t="s">
        <v>700</v>
      </c>
      <c r="I37" s="4"/>
      <c r="J37" s="4"/>
      <c r="K37" s="4"/>
      <c r="L37" s="4"/>
      <c r="M37" s="4"/>
    </row>
    <row r="38" spans="1:1016 1027:2048 2059:3068 3079:4088 4099:5120 5131:6140 6151:7160 7171:8192 8203:9212 9223:10232 10243:11264 11275:12284 12295:13304 13315:14336 14347:15356 15367:16376" ht="28.9">
      <c r="A38" s="49" t="s">
        <v>697</v>
      </c>
      <c r="B38" s="5"/>
      <c r="C38" s="5"/>
      <c r="D38" s="5"/>
      <c r="E38" s="5" t="s">
        <v>111</v>
      </c>
      <c r="F38" s="5" t="s">
        <v>701</v>
      </c>
      <c r="G38" s="5" t="s">
        <v>702</v>
      </c>
      <c r="H38" s="5" t="s">
        <v>703</v>
      </c>
      <c r="I38" s="8" t="s">
        <v>19</v>
      </c>
      <c r="J38" s="5"/>
      <c r="K38" s="5" t="s">
        <v>268</v>
      </c>
      <c r="L38" s="5"/>
      <c r="M38" s="5"/>
    </row>
    <row r="39" spans="1:1016 1027:2048 2059:3068 3079:4088 4099:5120 5131:6140 6151:7160 7171:8192 8203:9212 9223:10232 10243:11264 11275:12284 12295:13304 13315:14336 14347:15356 15367:16376" ht="28.9">
      <c r="A39" s="49" t="s">
        <v>697</v>
      </c>
      <c r="B39" s="5"/>
      <c r="C39" s="5"/>
      <c r="D39" s="5"/>
      <c r="E39" s="5" t="s">
        <v>112</v>
      </c>
      <c r="F39" s="5" t="s">
        <v>704</v>
      </c>
      <c r="G39" s="5" t="s">
        <v>705</v>
      </c>
      <c r="H39" s="5" t="s">
        <v>706</v>
      </c>
      <c r="I39" s="8" t="s">
        <v>19</v>
      </c>
      <c r="J39" s="5"/>
      <c r="K39" s="5" t="s">
        <v>268</v>
      </c>
      <c r="L39" s="5"/>
      <c r="M39" s="5"/>
    </row>
    <row r="40" spans="1:1016 1027:2048 2059:3068 3079:4088 4099:5120 5131:6140 6151:7160 7171:8192 8203:9212 9223:10232 10243:11264 11275:12284 12295:13304 13315:14336 14347:15356 15367:16376" ht="57.6">
      <c r="A40" s="49" t="s">
        <v>697</v>
      </c>
      <c r="B40" s="5"/>
      <c r="C40" s="5"/>
      <c r="D40" s="5"/>
      <c r="E40" s="5" t="s">
        <v>113</v>
      </c>
      <c r="F40" s="5" t="s">
        <v>707</v>
      </c>
      <c r="G40" s="5" t="s">
        <v>708</v>
      </c>
      <c r="H40" s="5" t="s">
        <v>709</v>
      </c>
      <c r="I40" s="8" t="s">
        <v>19</v>
      </c>
      <c r="J40" s="5"/>
      <c r="K40" s="5" t="s">
        <v>268</v>
      </c>
      <c r="L40" s="5"/>
      <c r="M40" s="5"/>
    </row>
    <row r="41" spans="1:1016 1027:2048 2059:3068 3079:4088 4099:5120 5131:6140 6151:7160 7171:8192 8203:9212 9223:10232 10243:11264 11275:12284 12295:13304 13315:14336 14347:15356 15367:16376" ht="156">
      <c r="A41" s="49" t="s">
        <v>697</v>
      </c>
      <c r="B41" s="4" t="s">
        <v>710</v>
      </c>
      <c r="C41" s="4"/>
      <c r="D41" s="4"/>
      <c r="E41" s="4"/>
      <c r="F41" s="4"/>
      <c r="G41" s="20" t="s">
        <v>711</v>
      </c>
      <c r="H41" s="20" t="s">
        <v>712</v>
      </c>
      <c r="I41" s="4"/>
      <c r="J41" s="4"/>
      <c r="K41" s="4"/>
      <c r="L41" s="4"/>
      <c r="M41" s="4"/>
    </row>
    <row r="42" spans="1:1016 1027:2048 2059:3068 3079:4088 4099:5120 5131:6140 6151:7160 7171:8192 8203:9212 9223:10232 10243:11264 11275:12284 12295:13304 13315:14336 14347:15356 15367:16376" ht="43.15">
      <c r="A42" s="49" t="s">
        <v>697</v>
      </c>
      <c r="B42" s="5"/>
      <c r="C42" s="5"/>
      <c r="D42" s="5"/>
      <c r="E42" s="5" t="s">
        <v>114</v>
      </c>
      <c r="F42" s="5" t="s">
        <v>713</v>
      </c>
      <c r="G42" s="5" t="s">
        <v>714</v>
      </c>
      <c r="H42" s="5" t="s">
        <v>715</v>
      </c>
      <c r="I42" s="8" t="s">
        <v>19</v>
      </c>
      <c r="J42" s="5"/>
      <c r="K42" s="5" t="s">
        <v>268</v>
      </c>
      <c r="L42" s="5"/>
      <c r="M42" s="5"/>
    </row>
    <row r="43" spans="1:1016 1027:2048 2059:3068 3079:4088 4099:5120 5131:6140 6151:7160 7171:8192 8203:9212 9223:10232 10243:11264 11275:12284 12295:13304 13315:14336 14347:15356 15367:16376" ht="57.6">
      <c r="A43" s="49" t="s">
        <v>697</v>
      </c>
      <c r="B43" s="5"/>
      <c r="C43" s="5"/>
      <c r="D43" s="5"/>
      <c r="E43" s="5" t="s">
        <v>115</v>
      </c>
      <c r="F43" s="5" t="s">
        <v>716</v>
      </c>
      <c r="G43" s="5" t="s">
        <v>717</v>
      </c>
      <c r="H43" s="5" t="s">
        <v>718</v>
      </c>
      <c r="I43" s="8" t="s">
        <v>19</v>
      </c>
      <c r="J43" s="5"/>
      <c r="K43" s="5" t="s">
        <v>268</v>
      </c>
      <c r="L43" s="5"/>
      <c r="M43" s="5"/>
    </row>
    <row r="44" spans="1:1016 1027:2048 2059:3068 3079:4088 4099:5120 5131:6140 6151:7160 7171:8192 8203:9212 9223:10232 10243:11264 11275:12284 12295:13304 13315:14336 14347:15356 15367:16376" ht="43.15">
      <c r="A44" s="49" t="s">
        <v>697</v>
      </c>
      <c r="B44" s="5"/>
      <c r="C44" s="5"/>
      <c r="D44" s="5"/>
      <c r="E44" s="5" t="s">
        <v>116</v>
      </c>
      <c r="F44" s="5" t="s">
        <v>719</v>
      </c>
      <c r="G44" s="5" t="s">
        <v>720</v>
      </c>
      <c r="H44" s="5" t="s">
        <v>721</v>
      </c>
      <c r="I44" s="8" t="s">
        <v>19</v>
      </c>
      <c r="J44" s="5"/>
      <c r="K44" s="5" t="s">
        <v>268</v>
      </c>
      <c r="L44" s="5"/>
      <c r="M44" s="5"/>
    </row>
    <row r="45" spans="1:1016 1027:2048 2059:3068 3079:4088 4099:5120 5131:6140 6151:7160 7171:8192 8203:9212 9223:10232 10243:11264 11275:12284 12295:13304 13315:14336 14347:15356 15367:16376" ht="72">
      <c r="A45" s="49" t="s">
        <v>697</v>
      </c>
      <c r="B45" s="5"/>
      <c r="C45" s="5"/>
      <c r="D45" s="5"/>
      <c r="E45" s="5" t="s">
        <v>117</v>
      </c>
      <c r="F45" s="5" t="s">
        <v>722</v>
      </c>
      <c r="G45" s="5" t="s">
        <v>723</v>
      </c>
      <c r="H45" s="5" t="s">
        <v>724</v>
      </c>
      <c r="I45" s="8" t="s">
        <v>19</v>
      </c>
      <c r="J45" s="5"/>
      <c r="K45" s="5" t="s">
        <v>268</v>
      </c>
      <c r="L45" s="5"/>
      <c r="M45" s="5"/>
    </row>
    <row r="46" spans="1:1016 1027:2048 2059:3068 3079:4088 4099:5120 5131:6140 6151:7160 7171:8192 8203:9212 9223:10232 10243:11264 11275:12284 12295:13304 13315:14336 14347:15356 15367:16376" ht="28.9">
      <c r="A46" s="49" t="s">
        <v>697</v>
      </c>
      <c r="B46" s="5"/>
      <c r="C46" s="5"/>
      <c r="D46" s="5"/>
      <c r="E46" s="5" t="s">
        <v>118</v>
      </c>
      <c r="F46" s="5" t="s">
        <v>725</v>
      </c>
      <c r="G46" s="5" t="s">
        <v>726</v>
      </c>
      <c r="H46" s="5" t="s">
        <v>727</v>
      </c>
      <c r="I46" s="8" t="s">
        <v>19</v>
      </c>
      <c r="J46" s="5"/>
      <c r="K46" s="5" t="s">
        <v>268</v>
      </c>
      <c r="L46" s="5"/>
      <c r="M46" s="5"/>
    </row>
    <row r="47" spans="1:1016 1027:2048 2059:3068 3079:4088 4099:5120 5131:6140 6151:7160 7171:8192 8203:9212 9223:10232 10243:11264 11275:12284 12295:13304 13315:14336 14347:15356 15367:16376" ht="43.15">
      <c r="A47" s="49" t="s">
        <v>697</v>
      </c>
      <c r="B47" s="5"/>
      <c r="C47" s="5"/>
      <c r="D47" s="5"/>
      <c r="E47" s="5" t="s">
        <v>119</v>
      </c>
      <c r="F47" s="5" t="s">
        <v>728</v>
      </c>
      <c r="G47" s="5" t="s">
        <v>729</v>
      </c>
      <c r="H47" s="5" t="s">
        <v>730</v>
      </c>
      <c r="I47" s="8" t="s">
        <v>19</v>
      </c>
      <c r="J47" s="5"/>
      <c r="K47" s="5" t="s">
        <v>268</v>
      </c>
      <c r="L47" s="5"/>
      <c r="M47" s="5"/>
    </row>
    <row r="48" spans="1:1016 1027:2048 2059:3068 3079:4088 4099:5120 5131:6140 6151:7160 7171:8192 8203:9212 9223:10232 10243:11264 11275:12284 12295:13304 13315:14336 14347:15356 15367:16376" s="4" customFormat="1">
      <c r="A48" s="49" t="s">
        <v>697</v>
      </c>
      <c r="G48" s="4" t="s">
        <v>731</v>
      </c>
      <c r="H48" s="20"/>
      <c r="S48" s="20"/>
      <c r="T48" s="20"/>
      <c r="AE48" s="20"/>
      <c r="AF48" s="20"/>
      <c r="AQ48" s="20"/>
      <c r="AR48" s="20"/>
      <c r="BC48" s="20"/>
      <c r="BD48" s="20"/>
      <c r="BO48" s="20"/>
      <c r="BP48" s="20"/>
      <c r="CA48" s="20"/>
      <c r="CB48" s="20"/>
      <c r="CM48" s="20"/>
      <c r="CN48" s="20"/>
      <c r="CY48" s="20"/>
      <c r="CZ48" s="20"/>
      <c r="DK48" s="20"/>
      <c r="DL48" s="20"/>
      <c r="DW48" s="20"/>
      <c r="DX48" s="20"/>
      <c r="EI48" s="20"/>
      <c r="EJ48" s="20"/>
      <c r="EU48" s="20"/>
      <c r="EV48" s="20"/>
      <c r="FG48" s="20"/>
      <c r="FH48" s="20"/>
      <c r="FS48" s="20"/>
      <c r="FT48" s="20"/>
      <c r="GE48" s="20"/>
      <c r="GF48" s="20"/>
      <c r="GQ48" s="20"/>
      <c r="GR48" s="20"/>
      <c r="HC48" s="20"/>
      <c r="HD48" s="20"/>
      <c r="HO48" s="20"/>
      <c r="HP48" s="20"/>
      <c r="IA48" s="20"/>
      <c r="IB48" s="20"/>
      <c r="IM48" s="20"/>
      <c r="IN48" s="20"/>
      <c r="IY48" s="20"/>
      <c r="IZ48" s="20"/>
      <c r="JK48" s="20"/>
      <c r="JL48" s="20"/>
      <c r="JW48" s="20"/>
      <c r="JX48" s="20"/>
      <c r="KI48" s="20"/>
      <c r="KJ48" s="20"/>
      <c r="KU48" s="20"/>
      <c r="KV48" s="20"/>
      <c r="LG48" s="20"/>
      <c r="LH48" s="20"/>
      <c r="LS48" s="20"/>
      <c r="LT48" s="20"/>
      <c r="ME48" s="20"/>
      <c r="MF48" s="20"/>
      <c r="MQ48" s="20"/>
      <c r="MR48" s="20"/>
      <c r="NC48" s="20"/>
      <c r="ND48" s="20"/>
      <c r="NO48" s="20"/>
      <c r="NP48" s="20"/>
      <c r="OA48" s="20"/>
      <c r="OB48" s="20"/>
      <c r="OM48" s="20"/>
      <c r="ON48" s="20"/>
      <c r="OY48" s="20"/>
      <c r="OZ48" s="20"/>
      <c r="PK48" s="20"/>
      <c r="PL48" s="20"/>
      <c r="PW48" s="20"/>
      <c r="PX48" s="20"/>
      <c r="QI48" s="20"/>
      <c r="QJ48" s="20"/>
      <c r="QU48" s="20"/>
      <c r="QV48" s="20"/>
      <c r="RG48" s="20"/>
      <c r="RH48" s="20"/>
      <c r="RS48" s="20"/>
      <c r="RT48" s="20"/>
      <c r="SE48" s="20"/>
      <c r="SF48" s="20"/>
      <c r="SQ48" s="20"/>
      <c r="SR48" s="20"/>
      <c r="TC48" s="20"/>
      <c r="TD48" s="20"/>
      <c r="TO48" s="20"/>
      <c r="TP48" s="20"/>
      <c r="UA48" s="20"/>
      <c r="UB48" s="20"/>
      <c r="UM48" s="20"/>
      <c r="UN48" s="20"/>
      <c r="UY48" s="20"/>
      <c r="UZ48" s="20"/>
      <c r="VK48" s="20"/>
      <c r="VL48" s="20"/>
      <c r="VW48" s="20"/>
      <c r="VX48" s="20"/>
      <c r="WI48" s="20"/>
      <c r="WJ48" s="20"/>
      <c r="WU48" s="20"/>
      <c r="WV48" s="20"/>
      <c r="XG48" s="20"/>
      <c r="XH48" s="20"/>
      <c r="XS48" s="20"/>
      <c r="XT48" s="20"/>
      <c r="YE48" s="20"/>
      <c r="YF48" s="20"/>
      <c r="YQ48" s="20"/>
      <c r="YR48" s="20"/>
      <c r="ZC48" s="20"/>
      <c r="ZD48" s="20"/>
      <c r="ZO48" s="20"/>
      <c r="ZP48" s="20"/>
      <c r="AAA48" s="20"/>
      <c r="AAB48" s="20"/>
      <c r="AAM48" s="20"/>
      <c r="AAN48" s="20"/>
      <c r="AAY48" s="20"/>
      <c r="AAZ48" s="20"/>
      <c r="ABK48" s="20"/>
      <c r="ABL48" s="20"/>
      <c r="ABW48" s="20"/>
      <c r="ABX48" s="20"/>
      <c r="ACI48" s="20"/>
      <c r="ACJ48" s="20"/>
      <c r="ACU48" s="20"/>
      <c r="ACV48" s="20"/>
      <c r="ADG48" s="20"/>
      <c r="ADH48" s="20"/>
      <c r="ADS48" s="20"/>
      <c r="ADT48" s="20"/>
      <c r="AEE48" s="20"/>
      <c r="AEF48" s="20"/>
      <c r="AEQ48" s="20"/>
      <c r="AER48" s="20"/>
      <c r="AFC48" s="20"/>
      <c r="AFD48" s="20"/>
      <c r="AFO48" s="20"/>
      <c r="AFP48" s="20"/>
      <c r="AGA48" s="20"/>
      <c r="AGB48" s="20"/>
      <c r="AGM48" s="20"/>
      <c r="AGN48" s="20"/>
      <c r="AGY48" s="20"/>
      <c r="AGZ48" s="20"/>
      <c r="AHK48" s="20"/>
      <c r="AHL48" s="20"/>
      <c r="AHW48" s="20"/>
      <c r="AHX48" s="20"/>
      <c r="AII48" s="20"/>
      <c r="AIJ48" s="20"/>
      <c r="AIU48" s="20"/>
      <c r="AIV48" s="20"/>
      <c r="AJG48" s="20"/>
      <c r="AJH48" s="20"/>
      <c r="AJS48" s="20"/>
      <c r="AJT48" s="20"/>
      <c r="AKE48" s="20"/>
      <c r="AKF48" s="20"/>
      <c r="AKQ48" s="20"/>
      <c r="AKR48" s="20"/>
      <c r="ALC48" s="20"/>
      <c r="ALD48" s="20"/>
      <c r="ALO48" s="20"/>
      <c r="ALP48" s="20"/>
      <c r="AMA48" s="20"/>
      <c r="AMB48" s="20"/>
      <c r="AMM48" s="20"/>
      <c r="AMN48" s="20"/>
      <c r="AMY48" s="20"/>
      <c r="AMZ48" s="20"/>
      <c r="ANK48" s="20"/>
      <c r="ANL48" s="20"/>
      <c r="ANW48" s="20"/>
      <c r="ANX48" s="20"/>
      <c r="AOI48" s="20"/>
      <c r="AOJ48" s="20"/>
      <c r="AOU48" s="20"/>
      <c r="AOV48" s="20"/>
      <c r="APG48" s="20"/>
      <c r="APH48" s="20"/>
      <c r="APS48" s="20"/>
      <c r="APT48" s="20"/>
      <c r="AQE48" s="20"/>
      <c r="AQF48" s="20"/>
      <c r="AQQ48" s="20"/>
      <c r="AQR48" s="20"/>
      <c r="ARC48" s="20"/>
      <c r="ARD48" s="20"/>
      <c r="ARO48" s="20"/>
      <c r="ARP48" s="20"/>
      <c r="ASA48" s="20"/>
      <c r="ASB48" s="20"/>
      <c r="ASM48" s="20"/>
      <c r="ASN48" s="20"/>
      <c r="ASY48" s="20"/>
      <c r="ASZ48" s="20"/>
      <c r="ATK48" s="20"/>
      <c r="ATL48" s="20"/>
      <c r="ATW48" s="20"/>
      <c r="ATX48" s="20"/>
      <c r="AUI48" s="20"/>
      <c r="AUJ48" s="20"/>
      <c r="AUU48" s="20"/>
      <c r="AUV48" s="20"/>
      <c r="AVG48" s="20"/>
      <c r="AVH48" s="20"/>
      <c r="AVS48" s="20"/>
      <c r="AVT48" s="20"/>
      <c r="AWE48" s="20"/>
      <c r="AWF48" s="20"/>
      <c r="AWQ48" s="20"/>
      <c r="AWR48" s="20"/>
      <c r="AXC48" s="20"/>
      <c r="AXD48" s="20"/>
      <c r="AXO48" s="20"/>
      <c r="AXP48" s="20"/>
      <c r="AYA48" s="20"/>
      <c r="AYB48" s="20"/>
      <c r="AYM48" s="20"/>
      <c r="AYN48" s="20"/>
      <c r="AYY48" s="20"/>
      <c r="AYZ48" s="20"/>
      <c r="AZK48" s="20"/>
      <c r="AZL48" s="20"/>
      <c r="AZW48" s="20"/>
      <c r="AZX48" s="20"/>
      <c r="BAI48" s="20"/>
      <c r="BAJ48" s="20"/>
      <c r="BAU48" s="20"/>
      <c r="BAV48" s="20"/>
      <c r="BBG48" s="20"/>
      <c r="BBH48" s="20"/>
      <c r="BBS48" s="20"/>
      <c r="BBT48" s="20"/>
      <c r="BCE48" s="20"/>
      <c r="BCF48" s="20"/>
      <c r="BCQ48" s="20"/>
      <c r="BCR48" s="20"/>
      <c r="BDC48" s="20"/>
      <c r="BDD48" s="20"/>
      <c r="BDO48" s="20"/>
      <c r="BDP48" s="20"/>
      <c r="BEA48" s="20"/>
      <c r="BEB48" s="20"/>
      <c r="BEM48" s="20"/>
      <c r="BEN48" s="20"/>
      <c r="BEY48" s="20"/>
      <c r="BEZ48" s="20"/>
      <c r="BFK48" s="20"/>
      <c r="BFL48" s="20"/>
      <c r="BFW48" s="20"/>
      <c r="BFX48" s="20"/>
      <c r="BGI48" s="20"/>
      <c r="BGJ48" s="20"/>
      <c r="BGU48" s="20"/>
      <c r="BGV48" s="20"/>
      <c r="BHG48" s="20"/>
      <c r="BHH48" s="20"/>
      <c r="BHS48" s="20"/>
      <c r="BHT48" s="20"/>
      <c r="BIE48" s="20"/>
      <c r="BIF48" s="20"/>
      <c r="BIQ48" s="20"/>
      <c r="BIR48" s="20"/>
      <c r="BJC48" s="20"/>
      <c r="BJD48" s="20"/>
      <c r="BJO48" s="20"/>
      <c r="BJP48" s="20"/>
      <c r="BKA48" s="20"/>
      <c r="BKB48" s="20"/>
      <c r="BKM48" s="20"/>
      <c r="BKN48" s="20"/>
      <c r="BKY48" s="20"/>
      <c r="BKZ48" s="20"/>
      <c r="BLK48" s="20"/>
      <c r="BLL48" s="20"/>
      <c r="BLW48" s="20"/>
      <c r="BLX48" s="20"/>
      <c r="BMI48" s="20"/>
      <c r="BMJ48" s="20"/>
      <c r="BMU48" s="20"/>
      <c r="BMV48" s="20"/>
      <c r="BNG48" s="20"/>
      <c r="BNH48" s="20"/>
      <c r="BNS48" s="20"/>
      <c r="BNT48" s="20"/>
      <c r="BOE48" s="20"/>
      <c r="BOF48" s="20"/>
      <c r="BOQ48" s="20"/>
      <c r="BOR48" s="20"/>
      <c r="BPC48" s="20"/>
      <c r="BPD48" s="20"/>
      <c r="BPO48" s="20"/>
      <c r="BPP48" s="20"/>
      <c r="BQA48" s="20"/>
      <c r="BQB48" s="20"/>
      <c r="BQM48" s="20"/>
      <c r="BQN48" s="20"/>
      <c r="BQY48" s="20"/>
      <c r="BQZ48" s="20"/>
      <c r="BRK48" s="20"/>
      <c r="BRL48" s="20"/>
      <c r="BRW48" s="20"/>
      <c r="BRX48" s="20"/>
      <c r="BSI48" s="20"/>
      <c r="BSJ48" s="20"/>
      <c r="BSU48" s="20"/>
      <c r="BSV48" s="20"/>
      <c r="BTG48" s="20"/>
      <c r="BTH48" s="20"/>
      <c r="BTS48" s="20"/>
      <c r="BTT48" s="20"/>
      <c r="BUE48" s="20"/>
      <c r="BUF48" s="20"/>
      <c r="BUQ48" s="20"/>
      <c r="BUR48" s="20"/>
      <c r="BVC48" s="20"/>
      <c r="BVD48" s="20"/>
      <c r="BVO48" s="20"/>
      <c r="BVP48" s="20"/>
      <c r="BWA48" s="20"/>
      <c r="BWB48" s="20"/>
      <c r="BWM48" s="20"/>
      <c r="BWN48" s="20"/>
      <c r="BWY48" s="20"/>
      <c r="BWZ48" s="20"/>
      <c r="BXK48" s="20"/>
      <c r="BXL48" s="20"/>
      <c r="BXW48" s="20"/>
      <c r="BXX48" s="20"/>
      <c r="BYI48" s="20"/>
      <c r="BYJ48" s="20"/>
      <c r="BYU48" s="20"/>
      <c r="BYV48" s="20"/>
      <c r="BZG48" s="20"/>
      <c r="BZH48" s="20"/>
      <c r="BZS48" s="20"/>
      <c r="BZT48" s="20"/>
      <c r="CAE48" s="20"/>
      <c r="CAF48" s="20"/>
      <c r="CAQ48" s="20"/>
      <c r="CAR48" s="20"/>
      <c r="CBC48" s="20"/>
      <c r="CBD48" s="20"/>
      <c r="CBO48" s="20"/>
      <c r="CBP48" s="20"/>
      <c r="CCA48" s="20"/>
      <c r="CCB48" s="20"/>
      <c r="CCM48" s="20"/>
      <c r="CCN48" s="20"/>
      <c r="CCY48" s="20"/>
      <c r="CCZ48" s="20"/>
      <c r="CDK48" s="20"/>
      <c r="CDL48" s="20"/>
      <c r="CDW48" s="20"/>
      <c r="CDX48" s="20"/>
      <c r="CEI48" s="20"/>
      <c r="CEJ48" s="20"/>
      <c r="CEU48" s="20"/>
      <c r="CEV48" s="20"/>
      <c r="CFG48" s="20"/>
      <c r="CFH48" s="20"/>
      <c r="CFS48" s="20"/>
      <c r="CFT48" s="20"/>
      <c r="CGE48" s="20"/>
      <c r="CGF48" s="20"/>
      <c r="CGQ48" s="20"/>
      <c r="CGR48" s="20"/>
      <c r="CHC48" s="20"/>
      <c r="CHD48" s="20"/>
      <c r="CHO48" s="20"/>
      <c r="CHP48" s="20"/>
      <c r="CIA48" s="20"/>
      <c r="CIB48" s="20"/>
      <c r="CIM48" s="20"/>
      <c r="CIN48" s="20"/>
      <c r="CIY48" s="20"/>
      <c r="CIZ48" s="20"/>
      <c r="CJK48" s="20"/>
      <c r="CJL48" s="20"/>
      <c r="CJW48" s="20"/>
      <c r="CJX48" s="20"/>
      <c r="CKI48" s="20"/>
      <c r="CKJ48" s="20"/>
      <c r="CKU48" s="20"/>
      <c r="CKV48" s="20"/>
      <c r="CLG48" s="20"/>
      <c r="CLH48" s="20"/>
      <c r="CLS48" s="20"/>
      <c r="CLT48" s="20"/>
      <c r="CME48" s="20"/>
      <c r="CMF48" s="20"/>
      <c r="CMQ48" s="20"/>
      <c r="CMR48" s="20"/>
      <c r="CNC48" s="20"/>
      <c r="CND48" s="20"/>
      <c r="CNO48" s="20"/>
      <c r="CNP48" s="20"/>
      <c r="COA48" s="20"/>
      <c r="COB48" s="20"/>
      <c r="COM48" s="20"/>
      <c r="CON48" s="20"/>
      <c r="COY48" s="20"/>
      <c r="COZ48" s="20"/>
      <c r="CPK48" s="20"/>
      <c r="CPL48" s="20"/>
      <c r="CPW48" s="20"/>
      <c r="CPX48" s="20"/>
      <c r="CQI48" s="20"/>
      <c r="CQJ48" s="20"/>
      <c r="CQU48" s="20"/>
      <c r="CQV48" s="20"/>
      <c r="CRG48" s="20"/>
      <c r="CRH48" s="20"/>
      <c r="CRS48" s="20"/>
      <c r="CRT48" s="20"/>
      <c r="CSE48" s="20"/>
      <c r="CSF48" s="20"/>
      <c r="CSQ48" s="20"/>
      <c r="CSR48" s="20"/>
      <c r="CTC48" s="20"/>
      <c r="CTD48" s="20"/>
      <c r="CTO48" s="20"/>
      <c r="CTP48" s="20"/>
      <c r="CUA48" s="20"/>
      <c r="CUB48" s="20"/>
      <c r="CUM48" s="20"/>
      <c r="CUN48" s="20"/>
      <c r="CUY48" s="20"/>
      <c r="CUZ48" s="20"/>
      <c r="CVK48" s="20"/>
      <c r="CVL48" s="20"/>
      <c r="CVW48" s="20"/>
      <c r="CVX48" s="20"/>
      <c r="CWI48" s="20"/>
      <c r="CWJ48" s="20"/>
      <c r="CWU48" s="20"/>
      <c r="CWV48" s="20"/>
      <c r="CXG48" s="20"/>
      <c r="CXH48" s="20"/>
      <c r="CXS48" s="20"/>
      <c r="CXT48" s="20"/>
      <c r="CYE48" s="20"/>
      <c r="CYF48" s="20"/>
      <c r="CYQ48" s="20"/>
      <c r="CYR48" s="20"/>
      <c r="CZC48" s="20"/>
      <c r="CZD48" s="20"/>
      <c r="CZO48" s="20"/>
      <c r="CZP48" s="20"/>
      <c r="DAA48" s="20"/>
      <c r="DAB48" s="20"/>
      <c r="DAM48" s="20"/>
      <c r="DAN48" s="20"/>
      <c r="DAY48" s="20"/>
      <c r="DAZ48" s="20"/>
      <c r="DBK48" s="20"/>
      <c r="DBL48" s="20"/>
      <c r="DBW48" s="20"/>
      <c r="DBX48" s="20"/>
      <c r="DCI48" s="20"/>
      <c r="DCJ48" s="20"/>
      <c r="DCU48" s="20"/>
      <c r="DCV48" s="20"/>
      <c r="DDG48" s="20"/>
      <c r="DDH48" s="20"/>
      <c r="DDS48" s="20"/>
      <c r="DDT48" s="20"/>
      <c r="DEE48" s="20"/>
      <c r="DEF48" s="20"/>
      <c r="DEQ48" s="20"/>
      <c r="DER48" s="20"/>
      <c r="DFC48" s="20"/>
      <c r="DFD48" s="20"/>
      <c r="DFO48" s="20"/>
      <c r="DFP48" s="20"/>
      <c r="DGA48" s="20"/>
      <c r="DGB48" s="20"/>
      <c r="DGM48" s="20"/>
      <c r="DGN48" s="20"/>
      <c r="DGY48" s="20"/>
      <c r="DGZ48" s="20"/>
      <c r="DHK48" s="20"/>
      <c r="DHL48" s="20"/>
      <c r="DHW48" s="20"/>
      <c r="DHX48" s="20"/>
      <c r="DII48" s="20"/>
      <c r="DIJ48" s="20"/>
      <c r="DIU48" s="20"/>
      <c r="DIV48" s="20"/>
      <c r="DJG48" s="20"/>
      <c r="DJH48" s="20"/>
      <c r="DJS48" s="20"/>
      <c r="DJT48" s="20"/>
      <c r="DKE48" s="20"/>
      <c r="DKF48" s="20"/>
      <c r="DKQ48" s="20"/>
      <c r="DKR48" s="20"/>
      <c r="DLC48" s="20"/>
      <c r="DLD48" s="20"/>
      <c r="DLO48" s="20"/>
      <c r="DLP48" s="20"/>
      <c r="DMA48" s="20"/>
      <c r="DMB48" s="20"/>
      <c r="DMM48" s="20"/>
      <c r="DMN48" s="20"/>
      <c r="DMY48" s="20"/>
      <c r="DMZ48" s="20"/>
      <c r="DNK48" s="20"/>
      <c r="DNL48" s="20"/>
      <c r="DNW48" s="20"/>
      <c r="DNX48" s="20"/>
      <c r="DOI48" s="20"/>
      <c r="DOJ48" s="20"/>
      <c r="DOU48" s="20"/>
      <c r="DOV48" s="20"/>
      <c r="DPG48" s="20"/>
      <c r="DPH48" s="20"/>
      <c r="DPS48" s="20"/>
      <c r="DPT48" s="20"/>
      <c r="DQE48" s="20"/>
      <c r="DQF48" s="20"/>
      <c r="DQQ48" s="20"/>
      <c r="DQR48" s="20"/>
      <c r="DRC48" s="20"/>
      <c r="DRD48" s="20"/>
      <c r="DRO48" s="20"/>
      <c r="DRP48" s="20"/>
      <c r="DSA48" s="20"/>
      <c r="DSB48" s="20"/>
      <c r="DSM48" s="20"/>
      <c r="DSN48" s="20"/>
      <c r="DSY48" s="20"/>
      <c r="DSZ48" s="20"/>
      <c r="DTK48" s="20"/>
      <c r="DTL48" s="20"/>
      <c r="DTW48" s="20"/>
      <c r="DTX48" s="20"/>
      <c r="DUI48" s="20"/>
      <c r="DUJ48" s="20"/>
      <c r="DUU48" s="20"/>
      <c r="DUV48" s="20"/>
      <c r="DVG48" s="20"/>
      <c r="DVH48" s="20"/>
      <c r="DVS48" s="20"/>
      <c r="DVT48" s="20"/>
      <c r="DWE48" s="20"/>
      <c r="DWF48" s="20"/>
      <c r="DWQ48" s="20"/>
      <c r="DWR48" s="20"/>
      <c r="DXC48" s="20"/>
      <c r="DXD48" s="20"/>
      <c r="DXO48" s="20"/>
      <c r="DXP48" s="20"/>
      <c r="DYA48" s="20"/>
      <c r="DYB48" s="20"/>
      <c r="DYM48" s="20"/>
      <c r="DYN48" s="20"/>
      <c r="DYY48" s="20"/>
      <c r="DYZ48" s="20"/>
      <c r="DZK48" s="20"/>
      <c r="DZL48" s="20"/>
      <c r="DZW48" s="20"/>
      <c r="DZX48" s="20"/>
      <c r="EAI48" s="20"/>
      <c r="EAJ48" s="20"/>
      <c r="EAU48" s="20"/>
      <c r="EAV48" s="20"/>
      <c r="EBG48" s="20"/>
      <c r="EBH48" s="20"/>
      <c r="EBS48" s="20"/>
      <c r="EBT48" s="20"/>
      <c r="ECE48" s="20"/>
      <c r="ECF48" s="20"/>
      <c r="ECQ48" s="20"/>
      <c r="ECR48" s="20"/>
      <c r="EDC48" s="20"/>
      <c r="EDD48" s="20"/>
      <c r="EDO48" s="20"/>
      <c r="EDP48" s="20"/>
      <c r="EEA48" s="20"/>
      <c r="EEB48" s="20"/>
      <c r="EEM48" s="20"/>
      <c r="EEN48" s="20"/>
      <c r="EEY48" s="20"/>
      <c r="EEZ48" s="20"/>
      <c r="EFK48" s="20"/>
      <c r="EFL48" s="20"/>
      <c r="EFW48" s="20"/>
      <c r="EFX48" s="20"/>
      <c r="EGI48" s="20"/>
      <c r="EGJ48" s="20"/>
      <c r="EGU48" s="20"/>
      <c r="EGV48" s="20"/>
      <c r="EHG48" s="20"/>
      <c r="EHH48" s="20"/>
      <c r="EHS48" s="20"/>
      <c r="EHT48" s="20"/>
      <c r="EIE48" s="20"/>
      <c r="EIF48" s="20"/>
      <c r="EIQ48" s="20"/>
      <c r="EIR48" s="20"/>
      <c r="EJC48" s="20"/>
      <c r="EJD48" s="20"/>
      <c r="EJO48" s="20"/>
      <c r="EJP48" s="20"/>
      <c r="EKA48" s="20"/>
      <c r="EKB48" s="20"/>
      <c r="EKM48" s="20"/>
      <c r="EKN48" s="20"/>
      <c r="EKY48" s="20"/>
      <c r="EKZ48" s="20"/>
      <c r="ELK48" s="20"/>
      <c r="ELL48" s="20"/>
      <c r="ELW48" s="20"/>
      <c r="ELX48" s="20"/>
      <c r="EMI48" s="20"/>
      <c r="EMJ48" s="20"/>
      <c r="EMU48" s="20"/>
      <c r="EMV48" s="20"/>
      <c r="ENG48" s="20"/>
      <c r="ENH48" s="20"/>
      <c r="ENS48" s="20"/>
      <c r="ENT48" s="20"/>
      <c r="EOE48" s="20"/>
      <c r="EOF48" s="20"/>
      <c r="EOQ48" s="20"/>
      <c r="EOR48" s="20"/>
      <c r="EPC48" s="20"/>
      <c r="EPD48" s="20"/>
      <c r="EPO48" s="20"/>
      <c r="EPP48" s="20"/>
      <c r="EQA48" s="20"/>
      <c r="EQB48" s="20"/>
      <c r="EQM48" s="20"/>
      <c r="EQN48" s="20"/>
      <c r="EQY48" s="20"/>
      <c r="EQZ48" s="20"/>
      <c r="ERK48" s="20"/>
      <c r="ERL48" s="20"/>
      <c r="ERW48" s="20"/>
      <c r="ERX48" s="20"/>
      <c r="ESI48" s="20"/>
      <c r="ESJ48" s="20"/>
      <c r="ESU48" s="20"/>
      <c r="ESV48" s="20"/>
      <c r="ETG48" s="20"/>
      <c r="ETH48" s="20"/>
      <c r="ETS48" s="20"/>
      <c r="ETT48" s="20"/>
      <c r="EUE48" s="20"/>
      <c r="EUF48" s="20"/>
      <c r="EUQ48" s="20"/>
      <c r="EUR48" s="20"/>
      <c r="EVC48" s="20"/>
      <c r="EVD48" s="20"/>
      <c r="EVO48" s="20"/>
      <c r="EVP48" s="20"/>
      <c r="EWA48" s="20"/>
      <c r="EWB48" s="20"/>
      <c r="EWM48" s="20"/>
      <c r="EWN48" s="20"/>
      <c r="EWY48" s="20"/>
      <c r="EWZ48" s="20"/>
      <c r="EXK48" s="20"/>
      <c r="EXL48" s="20"/>
      <c r="EXW48" s="20"/>
      <c r="EXX48" s="20"/>
      <c r="EYI48" s="20"/>
      <c r="EYJ48" s="20"/>
      <c r="EYU48" s="20"/>
      <c r="EYV48" s="20"/>
      <c r="EZG48" s="20"/>
      <c r="EZH48" s="20"/>
      <c r="EZS48" s="20"/>
      <c r="EZT48" s="20"/>
      <c r="FAE48" s="20"/>
      <c r="FAF48" s="20"/>
      <c r="FAQ48" s="20"/>
      <c r="FAR48" s="20"/>
      <c r="FBC48" s="20"/>
      <c r="FBD48" s="20"/>
      <c r="FBO48" s="20"/>
      <c r="FBP48" s="20"/>
      <c r="FCA48" s="20"/>
      <c r="FCB48" s="20"/>
      <c r="FCM48" s="20"/>
      <c r="FCN48" s="20"/>
      <c r="FCY48" s="20"/>
      <c r="FCZ48" s="20"/>
      <c r="FDK48" s="20"/>
      <c r="FDL48" s="20"/>
      <c r="FDW48" s="20"/>
      <c r="FDX48" s="20"/>
      <c r="FEI48" s="20"/>
      <c r="FEJ48" s="20"/>
      <c r="FEU48" s="20"/>
      <c r="FEV48" s="20"/>
      <c r="FFG48" s="20"/>
      <c r="FFH48" s="20"/>
      <c r="FFS48" s="20"/>
      <c r="FFT48" s="20"/>
      <c r="FGE48" s="20"/>
      <c r="FGF48" s="20"/>
      <c r="FGQ48" s="20"/>
      <c r="FGR48" s="20"/>
      <c r="FHC48" s="20"/>
      <c r="FHD48" s="20"/>
      <c r="FHO48" s="20"/>
      <c r="FHP48" s="20"/>
      <c r="FIA48" s="20"/>
      <c r="FIB48" s="20"/>
      <c r="FIM48" s="20"/>
      <c r="FIN48" s="20"/>
      <c r="FIY48" s="20"/>
      <c r="FIZ48" s="20"/>
      <c r="FJK48" s="20"/>
      <c r="FJL48" s="20"/>
      <c r="FJW48" s="20"/>
      <c r="FJX48" s="20"/>
      <c r="FKI48" s="20"/>
      <c r="FKJ48" s="20"/>
      <c r="FKU48" s="20"/>
      <c r="FKV48" s="20"/>
      <c r="FLG48" s="20"/>
      <c r="FLH48" s="20"/>
      <c r="FLS48" s="20"/>
      <c r="FLT48" s="20"/>
      <c r="FME48" s="20"/>
      <c r="FMF48" s="20"/>
      <c r="FMQ48" s="20"/>
      <c r="FMR48" s="20"/>
      <c r="FNC48" s="20"/>
      <c r="FND48" s="20"/>
      <c r="FNO48" s="20"/>
      <c r="FNP48" s="20"/>
      <c r="FOA48" s="20"/>
      <c r="FOB48" s="20"/>
      <c r="FOM48" s="20"/>
      <c r="FON48" s="20"/>
      <c r="FOY48" s="20"/>
      <c r="FOZ48" s="20"/>
      <c r="FPK48" s="20"/>
      <c r="FPL48" s="20"/>
      <c r="FPW48" s="20"/>
      <c r="FPX48" s="20"/>
      <c r="FQI48" s="20"/>
      <c r="FQJ48" s="20"/>
      <c r="FQU48" s="20"/>
      <c r="FQV48" s="20"/>
      <c r="FRG48" s="20"/>
      <c r="FRH48" s="20"/>
      <c r="FRS48" s="20"/>
      <c r="FRT48" s="20"/>
      <c r="FSE48" s="20"/>
      <c r="FSF48" s="20"/>
      <c r="FSQ48" s="20"/>
      <c r="FSR48" s="20"/>
      <c r="FTC48" s="20"/>
      <c r="FTD48" s="20"/>
      <c r="FTO48" s="20"/>
      <c r="FTP48" s="20"/>
      <c r="FUA48" s="20"/>
      <c r="FUB48" s="20"/>
      <c r="FUM48" s="20"/>
      <c r="FUN48" s="20"/>
      <c r="FUY48" s="20"/>
      <c r="FUZ48" s="20"/>
      <c r="FVK48" s="20"/>
      <c r="FVL48" s="20"/>
      <c r="FVW48" s="20"/>
      <c r="FVX48" s="20"/>
      <c r="FWI48" s="20"/>
      <c r="FWJ48" s="20"/>
      <c r="FWU48" s="20"/>
      <c r="FWV48" s="20"/>
      <c r="FXG48" s="20"/>
      <c r="FXH48" s="20"/>
      <c r="FXS48" s="20"/>
      <c r="FXT48" s="20"/>
      <c r="FYE48" s="20"/>
      <c r="FYF48" s="20"/>
      <c r="FYQ48" s="20"/>
      <c r="FYR48" s="20"/>
      <c r="FZC48" s="20"/>
      <c r="FZD48" s="20"/>
      <c r="FZO48" s="20"/>
      <c r="FZP48" s="20"/>
      <c r="GAA48" s="20"/>
      <c r="GAB48" s="20"/>
      <c r="GAM48" s="20"/>
      <c r="GAN48" s="20"/>
      <c r="GAY48" s="20"/>
      <c r="GAZ48" s="20"/>
      <c r="GBK48" s="20"/>
      <c r="GBL48" s="20"/>
      <c r="GBW48" s="20"/>
      <c r="GBX48" s="20"/>
      <c r="GCI48" s="20"/>
      <c r="GCJ48" s="20"/>
      <c r="GCU48" s="20"/>
      <c r="GCV48" s="20"/>
      <c r="GDG48" s="20"/>
      <c r="GDH48" s="20"/>
      <c r="GDS48" s="20"/>
      <c r="GDT48" s="20"/>
      <c r="GEE48" s="20"/>
      <c r="GEF48" s="20"/>
      <c r="GEQ48" s="20"/>
      <c r="GER48" s="20"/>
      <c r="GFC48" s="20"/>
      <c r="GFD48" s="20"/>
      <c r="GFO48" s="20"/>
      <c r="GFP48" s="20"/>
      <c r="GGA48" s="20"/>
      <c r="GGB48" s="20"/>
      <c r="GGM48" s="20"/>
      <c r="GGN48" s="20"/>
      <c r="GGY48" s="20"/>
      <c r="GGZ48" s="20"/>
      <c r="GHK48" s="20"/>
      <c r="GHL48" s="20"/>
      <c r="GHW48" s="20"/>
      <c r="GHX48" s="20"/>
      <c r="GII48" s="20"/>
      <c r="GIJ48" s="20"/>
      <c r="GIU48" s="20"/>
      <c r="GIV48" s="20"/>
      <c r="GJG48" s="20"/>
      <c r="GJH48" s="20"/>
      <c r="GJS48" s="20"/>
      <c r="GJT48" s="20"/>
      <c r="GKE48" s="20"/>
      <c r="GKF48" s="20"/>
      <c r="GKQ48" s="20"/>
      <c r="GKR48" s="20"/>
      <c r="GLC48" s="20"/>
      <c r="GLD48" s="20"/>
      <c r="GLO48" s="20"/>
      <c r="GLP48" s="20"/>
      <c r="GMA48" s="20"/>
      <c r="GMB48" s="20"/>
      <c r="GMM48" s="20"/>
      <c r="GMN48" s="20"/>
      <c r="GMY48" s="20"/>
      <c r="GMZ48" s="20"/>
      <c r="GNK48" s="20"/>
      <c r="GNL48" s="20"/>
      <c r="GNW48" s="20"/>
      <c r="GNX48" s="20"/>
      <c r="GOI48" s="20"/>
      <c r="GOJ48" s="20"/>
      <c r="GOU48" s="20"/>
      <c r="GOV48" s="20"/>
      <c r="GPG48" s="20"/>
      <c r="GPH48" s="20"/>
      <c r="GPS48" s="20"/>
      <c r="GPT48" s="20"/>
      <c r="GQE48" s="20"/>
      <c r="GQF48" s="20"/>
      <c r="GQQ48" s="20"/>
      <c r="GQR48" s="20"/>
      <c r="GRC48" s="20"/>
      <c r="GRD48" s="20"/>
      <c r="GRO48" s="20"/>
      <c r="GRP48" s="20"/>
      <c r="GSA48" s="20"/>
      <c r="GSB48" s="20"/>
      <c r="GSM48" s="20"/>
      <c r="GSN48" s="20"/>
      <c r="GSY48" s="20"/>
      <c r="GSZ48" s="20"/>
      <c r="GTK48" s="20"/>
      <c r="GTL48" s="20"/>
      <c r="GTW48" s="20"/>
      <c r="GTX48" s="20"/>
      <c r="GUI48" s="20"/>
      <c r="GUJ48" s="20"/>
      <c r="GUU48" s="20"/>
      <c r="GUV48" s="20"/>
      <c r="GVG48" s="20"/>
      <c r="GVH48" s="20"/>
      <c r="GVS48" s="20"/>
      <c r="GVT48" s="20"/>
      <c r="GWE48" s="20"/>
      <c r="GWF48" s="20"/>
      <c r="GWQ48" s="20"/>
      <c r="GWR48" s="20"/>
      <c r="GXC48" s="20"/>
      <c r="GXD48" s="20"/>
      <c r="GXO48" s="20"/>
      <c r="GXP48" s="20"/>
      <c r="GYA48" s="20"/>
      <c r="GYB48" s="20"/>
      <c r="GYM48" s="20"/>
      <c r="GYN48" s="20"/>
      <c r="GYY48" s="20"/>
      <c r="GYZ48" s="20"/>
      <c r="GZK48" s="20"/>
      <c r="GZL48" s="20"/>
      <c r="GZW48" s="20"/>
      <c r="GZX48" s="20"/>
      <c r="HAI48" s="20"/>
      <c r="HAJ48" s="20"/>
      <c r="HAU48" s="20"/>
      <c r="HAV48" s="20"/>
      <c r="HBG48" s="20"/>
      <c r="HBH48" s="20"/>
      <c r="HBS48" s="20"/>
      <c r="HBT48" s="20"/>
      <c r="HCE48" s="20"/>
      <c r="HCF48" s="20"/>
      <c r="HCQ48" s="20"/>
      <c r="HCR48" s="20"/>
      <c r="HDC48" s="20"/>
      <c r="HDD48" s="20"/>
      <c r="HDO48" s="20"/>
      <c r="HDP48" s="20"/>
      <c r="HEA48" s="20"/>
      <c r="HEB48" s="20"/>
      <c r="HEM48" s="20"/>
      <c r="HEN48" s="20"/>
      <c r="HEY48" s="20"/>
      <c r="HEZ48" s="20"/>
      <c r="HFK48" s="20"/>
      <c r="HFL48" s="20"/>
      <c r="HFW48" s="20"/>
      <c r="HFX48" s="20"/>
      <c r="HGI48" s="20"/>
      <c r="HGJ48" s="20"/>
      <c r="HGU48" s="20"/>
      <c r="HGV48" s="20"/>
      <c r="HHG48" s="20"/>
      <c r="HHH48" s="20"/>
      <c r="HHS48" s="20"/>
      <c r="HHT48" s="20"/>
      <c r="HIE48" s="20"/>
      <c r="HIF48" s="20"/>
      <c r="HIQ48" s="20"/>
      <c r="HIR48" s="20"/>
      <c r="HJC48" s="20"/>
      <c r="HJD48" s="20"/>
      <c r="HJO48" s="20"/>
      <c r="HJP48" s="20"/>
      <c r="HKA48" s="20"/>
      <c r="HKB48" s="20"/>
      <c r="HKM48" s="20"/>
      <c r="HKN48" s="20"/>
      <c r="HKY48" s="20"/>
      <c r="HKZ48" s="20"/>
      <c r="HLK48" s="20"/>
      <c r="HLL48" s="20"/>
      <c r="HLW48" s="20"/>
      <c r="HLX48" s="20"/>
      <c r="HMI48" s="20"/>
      <c r="HMJ48" s="20"/>
      <c r="HMU48" s="20"/>
      <c r="HMV48" s="20"/>
      <c r="HNG48" s="20"/>
      <c r="HNH48" s="20"/>
      <c r="HNS48" s="20"/>
      <c r="HNT48" s="20"/>
      <c r="HOE48" s="20"/>
      <c r="HOF48" s="20"/>
      <c r="HOQ48" s="20"/>
      <c r="HOR48" s="20"/>
      <c r="HPC48" s="20"/>
      <c r="HPD48" s="20"/>
      <c r="HPO48" s="20"/>
      <c r="HPP48" s="20"/>
      <c r="HQA48" s="20"/>
      <c r="HQB48" s="20"/>
      <c r="HQM48" s="20"/>
      <c r="HQN48" s="20"/>
      <c r="HQY48" s="20"/>
      <c r="HQZ48" s="20"/>
      <c r="HRK48" s="20"/>
      <c r="HRL48" s="20"/>
      <c r="HRW48" s="20"/>
      <c r="HRX48" s="20"/>
      <c r="HSI48" s="20"/>
      <c r="HSJ48" s="20"/>
      <c r="HSU48" s="20"/>
      <c r="HSV48" s="20"/>
      <c r="HTG48" s="20"/>
      <c r="HTH48" s="20"/>
      <c r="HTS48" s="20"/>
      <c r="HTT48" s="20"/>
      <c r="HUE48" s="20"/>
      <c r="HUF48" s="20"/>
      <c r="HUQ48" s="20"/>
      <c r="HUR48" s="20"/>
      <c r="HVC48" s="20"/>
      <c r="HVD48" s="20"/>
      <c r="HVO48" s="20"/>
      <c r="HVP48" s="20"/>
      <c r="HWA48" s="20"/>
      <c r="HWB48" s="20"/>
      <c r="HWM48" s="20"/>
      <c r="HWN48" s="20"/>
      <c r="HWY48" s="20"/>
      <c r="HWZ48" s="20"/>
      <c r="HXK48" s="20"/>
      <c r="HXL48" s="20"/>
      <c r="HXW48" s="20"/>
      <c r="HXX48" s="20"/>
      <c r="HYI48" s="20"/>
      <c r="HYJ48" s="20"/>
      <c r="HYU48" s="20"/>
      <c r="HYV48" s="20"/>
      <c r="HZG48" s="20"/>
      <c r="HZH48" s="20"/>
      <c r="HZS48" s="20"/>
      <c r="HZT48" s="20"/>
      <c r="IAE48" s="20"/>
      <c r="IAF48" s="20"/>
      <c r="IAQ48" s="20"/>
      <c r="IAR48" s="20"/>
      <c r="IBC48" s="20"/>
      <c r="IBD48" s="20"/>
      <c r="IBO48" s="20"/>
      <c r="IBP48" s="20"/>
      <c r="ICA48" s="20"/>
      <c r="ICB48" s="20"/>
      <c r="ICM48" s="20"/>
      <c r="ICN48" s="20"/>
      <c r="ICY48" s="20"/>
      <c r="ICZ48" s="20"/>
      <c r="IDK48" s="20"/>
      <c r="IDL48" s="20"/>
      <c r="IDW48" s="20"/>
      <c r="IDX48" s="20"/>
      <c r="IEI48" s="20"/>
      <c r="IEJ48" s="20"/>
      <c r="IEU48" s="20"/>
      <c r="IEV48" s="20"/>
      <c r="IFG48" s="20"/>
      <c r="IFH48" s="20"/>
      <c r="IFS48" s="20"/>
      <c r="IFT48" s="20"/>
      <c r="IGE48" s="20"/>
      <c r="IGF48" s="20"/>
      <c r="IGQ48" s="20"/>
      <c r="IGR48" s="20"/>
      <c r="IHC48" s="20"/>
      <c r="IHD48" s="20"/>
      <c r="IHO48" s="20"/>
      <c r="IHP48" s="20"/>
      <c r="IIA48" s="20"/>
      <c r="IIB48" s="20"/>
      <c r="IIM48" s="20"/>
      <c r="IIN48" s="20"/>
      <c r="IIY48" s="20"/>
      <c r="IIZ48" s="20"/>
      <c r="IJK48" s="20"/>
      <c r="IJL48" s="20"/>
      <c r="IJW48" s="20"/>
      <c r="IJX48" s="20"/>
      <c r="IKI48" s="20"/>
      <c r="IKJ48" s="20"/>
      <c r="IKU48" s="20"/>
      <c r="IKV48" s="20"/>
      <c r="ILG48" s="20"/>
      <c r="ILH48" s="20"/>
      <c r="ILS48" s="20"/>
      <c r="ILT48" s="20"/>
      <c r="IME48" s="20"/>
      <c r="IMF48" s="20"/>
      <c r="IMQ48" s="20"/>
      <c r="IMR48" s="20"/>
      <c r="INC48" s="20"/>
      <c r="IND48" s="20"/>
      <c r="INO48" s="20"/>
      <c r="INP48" s="20"/>
      <c r="IOA48" s="20"/>
      <c r="IOB48" s="20"/>
      <c r="IOM48" s="20"/>
      <c r="ION48" s="20"/>
      <c r="IOY48" s="20"/>
      <c r="IOZ48" s="20"/>
      <c r="IPK48" s="20"/>
      <c r="IPL48" s="20"/>
      <c r="IPW48" s="20"/>
      <c r="IPX48" s="20"/>
      <c r="IQI48" s="20"/>
      <c r="IQJ48" s="20"/>
      <c r="IQU48" s="20"/>
      <c r="IQV48" s="20"/>
      <c r="IRG48" s="20"/>
      <c r="IRH48" s="20"/>
      <c r="IRS48" s="20"/>
      <c r="IRT48" s="20"/>
      <c r="ISE48" s="20"/>
      <c r="ISF48" s="20"/>
      <c r="ISQ48" s="20"/>
      <c r="ISR48" s="20"/>
      <c r="ITC48" s="20"/>
      <c r="ITD48" s="20"/>
      <c r="ITO48" s="20"/>
      <c r="ITP48" s="20"/>
      <c r="IUA48" s="20"/>
      <c r="IUB48" s="20"/>
      <c r="IUM48" s="20"/>
      <c r="IUN48" s="20"/>
      <c r="IUY48" s="20"/>
      <c r="IUZ48" s="20"/>
      <c r="IVK48" s="20"/>
      <c r="IVL48" s="20"/>
      <c r="IVW48" s="20"/>
      <c r="IVX48" s="20"/>
      <c r="IWI48" s="20"/>
      <c r="IWJ48" s="20"/>
      <c r="IWU48" s="20"/>
      <c r="IWV48" s="20"/>
      <c r="IXG48" s="20"/>
      <c r="IXH48" s="20"/>
      <c r="IXS48" s="20"/>
      <c r="IXT48" s="20"/>
      <c r="IYE48" s="20"/>
      <c r="IYF48" s="20"/>
      <c r="IYQ48" s="20"/>
      <c r="IYR48" s="20"/>
      <c r="IZC48" s="20"/>
      <c r="IZD48" s="20"/>
      <c r="IZO48" s="20"/>
      <c r="IZP48" s="20"/>
      <c r="JAA48" s="20"/>
      <c r="JAB48" s="20"/>
      <c r="JAM48" s="20"/>
      <c r="JAN48" s="20"/>
      <c r="JAY48" s="20"/>
      <c r="JAZ48" s="20"/>
      <c r="JBK48" s="20"/>
      <c r="JBL48" s="20"/>
      <c r="JBW48" s="20"/>
      <c r="JBX48" s="20"/>
      <c r="JCI48" s="20"/>
      <c r="JCJ48" s="20"/>
      <c r="JCU48" s="20"/>
      <c r="JCV48" s="20"/>
      <c r="JDG48" s="20"/>
      <c r="JDH48" s="20"/>
      <c r="JDS48" s="20"/>
      <c r="JDT48" s="20"/>
      <c r="JEE48" s="20"/>
      <c r="JEF48" s="20"/>
      <c r="JEQ48" s="20"/>
      <c r="JER48" s="20"/>
      <c r="JFC48" s="20"/>
      <c r="JFD48" s="20"/>
      <c r="JFO48" s="20"/>
      <c r="JFP48" s="20"/>
      <c r="JGA48" s="20"/>
      <c r="JGB48" s="20"/>
      <c r="JGM48" s="20"/>
      <c r="JGN48" s="20"/>
      <c r="JGY48" s="20"/>
      <c r="JGZ48" s="20"/>
      <c r="JHK48" s="20"/>
      <c r="JHL48" s="20"/>
      <c r="JHW48" s="20"/>
      <c r="JHX48" s="20"/>
      <c r="JII48" s="20"/>
      <c r="JIJ48" s="20"/>
      <c r="JIU48" s="20"/>
      <c r="JIV48" s="20"/>
      <c r="JJG48" s="20"/>
      <c r="JJH48" s="20"/>
      <c r="JJS48" s="20"/>
      <c r="JJT48" s="20"/>
      <c r="JKE48" s="20"/>
      <c r="JKF48" s="20"/>
      <c r="JKQ48" s="20"/>
      <c r="JKR48" s="20"/>
      <c r="JLC48" s="20"/>
      <c r="JLD48" s="20"/>
      <c r="JLO48" s="20"/>
      <c r="JLP48" s="20"/>
      <c r="JMA48" s="20"/>
      <c r="JMB48" s="20"/>
      <c r="JMM48" s="20"/>
      <c r="JMN48" s="20"/>
      <c r="JMY48" s="20"/>
      <c r="JMZ48" s="20"/>
      <c r="JNK48" s="20"/>
      <c r="JNL48" s="20"/>
      <c r="JNW48" s="20"/>
      <c r="JNX48" s="20"/>
      <c r="JOI48" s="20"/>
      <c r="JOJ48" s="20"/>
      <c r="JOU48" s="20"/>
      <c r="JOV48" s="20"/>
      <c r="JPG48" s="20"/>
      <c r="JPH48" s="20"/>
      <c r="JPS48" s="20"/>
      <c r="JPT48" s="20"/>
      <c r="JQE48" s="20"/>
      <c r="JQF48" s="20"/>
      <c r="JQQ48" s="20"/>
      <c r="JQR48" s="20"/>
      <c r="JRC48" s="20"/>
      <c r="JRD48" s="20"/>
      <c r="JRO48" s="20"/>
      <c r="JRP48" s="20"/>
      <c r="JSA48" s="20"/>
      <c r="JSB48" s="20"/>
      <c r="JSM48" s="20"/>
      <c r="JSN48" s="20"/>
      <c r="JSY48" s="20"/>
      <c r="JSZ48" s="20"/>
      <c r="JTK48" s="20"/>
      <c r="JTL48" s="20"/>
      <c r="JTW48" s="20"/>
      <c r="JTX48" s="20"/>
      <c r="JUI48" s="20"/>
      <c r="JUJ48" s="20"/>
      <c r="JUU48" s="20"/>
      <c r="JUV48" s="20"/>
      <c r="JVG48" s="20"/>
      <c r="JVH48" s="20"/>
      <c r="JVS48" s="20"/>
      <c r="JVT48" s="20"/>
      <c r="JWE48" s="20"/>
      <c r="JWF48" s="20"/>
      <c r="JWQ48" s="20"/>
      <c r="JWR48" s="20"/>
      <c r="JXC48" s="20"/>
      <c r="JXD48" s="20"/>
      <c r="JXO48" s="20"/>
      <c r="JXP48" s="20"/>
      <c r="JYA48" s="20"/>
      <c r="JYB48" s="20"/>
      <c r="JYM48" s="20"/>
      <c r="JYN48" s="20"/>
      <c r="JYY48" s="20"/>
      <c r="JYZ48" s="20"/>
      <c r="JZK48" s="20"/>
      <c r="JZL48" s="20"/>
      <c r="JZW48" s="20"/>
      <c r="JZX48" s="20"/>
      <c r="KAI48" s="20"/>
      <c r="KAJ48" s="20"/>
      <c r="KAU48" s="20"/>
      <c r="KAV48" s="20"/>
      <c r="KBG48" s="20"/>
      <c r="KBH48" s="20"/>
      <c r="KBS48" s="20"/>
      <c r="KBT48" s="20"/>
      <c r="KCE48" s="20"/>
      <c r="KCF48" s="20"/>
      <c r="KCQ48" s="20"/>
      <c r="KCR48" s="20"/>
      <c r="KDC48" s="20"/>
      <c r="KDD48" s="20"/>
      <c r="KDO48" s="20"/>
      <c r="KDP48" s="20"/>
      <c r="KEA48" s="20"/>
      <c r="KEB48" s="20"/>
      <c r="KEM48" s="20"/>
      <c r="KEN48" s="20"/>
      <c r="KEY48" s="20"/>
      <c r="KEZ48" s="20"/>
      <c r="KFK48" s="20"/>
      <c r="KFL48" s="20"/>
      <c r="KFW48" s="20"/>
      <c r="KFX48" s="20"/>
      <c r="KGI48" s="20"/>
      <c r="KGJ48" s="20"/>
      <c r="KGU48" s="20"/>
      <c r="KGV48" s="20"/>
      <c r="KHG48" s="20"/>
      <c r="KHH48" s="20"/>
      <c r="KHS48" s="20"/>
      <c r="KHT48" s="20"/>
      <c r="KIE48" s="20"/>
      <c r="KIF48" s="20"/>
      <c r="KIQ48" s="20"/>
      <c r="KIR48" s="20"/>
      <c r="KJC48" s="20"/>
      <c r="KJD48" s="20"/>
      <c r="KJO48" s="20"/>
      <c r="KJP48" s="20"/>
      <c r="KKA48" s="20"/>
      <c r="KKB48" s="20"/>
      <c r="KKM48" s="20"/>
      <c r="KKN48" s="20"/>
      <c r="KKY48" s="20"/>
      <c r="KKZ48" s="20"/>
      <c r="KLK48" s="20"/>
      <c r="KLL48" s="20"/>
      <c r="KLW48" s="20"/>
      <c r="KLX48" s="20"/>
      <c r="KMI48" s="20"/>
      <c r="KMJ48" s="20"/>
      <c r="KMU48" s="20"/>
      <c r="KMV48" s="20"/>
      <c r="KNG48" s="20"/>
      <c r="KNH48" s="20"/>
      <c r="KNS48" s="20"/>
      <c r="KNT48" s="20"/>
      <c r="KOE48" s="20"/>
      <c r="KOF48" s="20"/>
      <c r="KOQ48" s="20"/>
      <c r="KOR48" s="20"/>
      <c r="KPC48" s="20"/>
      <c r="KPD48" s="20"/>
      <c r="KPO48" s="20"/>
      <c r="KPP48" s="20"/>
      <c r="KQA48" s="20"/>
      <c r="KQB48" s="20"/>
      <c r="KQM48" s="20"/>
      <c r="KQN48" s="20"/>
      <c r="KQY48" s="20"/>
      <c r="KQZ48" s="20"/>
      <c r="KRK48" s="20"/>
      <c r="KRL48" s="20"/>
      <c r="KRW48" s="20"/>
      <c r="KRX48" s="20"/>
      <c r="KSI48" s="20"/>
      <c r="KSJ48" s="20"/>
      <c r="KSU48" s="20"/>
      <c r="KSV48" s="20"/>
      <c r="KTG48" s="20"/>
      <c r="KTH48" s="20"/>
      <c r="KTS48" s="20"/>
      <c r="KTT48" s="20"/>
      <c r="KUE48" s="20"/>
      <c r="KUF48" s="20"/>
      <c r="KUQ48" s="20"/>
      <c r="KUR48" s="20"/>
      <c r="KVC48" s="20"/>
      <c r="KVD48" s="20"/>
      <c r="KVO48" s="20"/>
      <c r="KVP48" s="20"/>
      <c r="KWA48" s="20"/>
      <c r="KWB48" s="20"/>
      <c r="KWM48" s="20"/>
      <c r="KWN48" s="20"/>
      <c r="KWY48" s="20"/>
      <c r="KWZ48" s="20"/>
      <c r="KXK48" s="20"/>
      <c r="KXL48" s="20"/>
      <c r="KXW48" s="20"/>
      <c r="KXX48" s="20"/>
      <c r="KYI48" s="20"/>
      <c r="KYJ48" s="20"/>
      <c r="KYU48" s="20"/>
      <c r="KYV48" s="20"/>
      <c r="KZG48" s="20"/>
      <c r="KZH48" s="20"/>
      <c r="KZS48" s="20"/>
      <c r="KZT48" s="20"/>
      <c r="LAE48" s="20"/>
      <c r="LAF48" s="20"/>
      <c r="LAQ48" s="20"/>
      <c r="LAR48" s="20"/>
      <c r="LBC48" s="20"/>
      <c r="LBD48" s="20"/>
      <c r="LBO48" s="20"/>
      <c r="LBP48" s="20"/>
      <c r="LCA48" s="20"/>
      <c r="LCB48" s="20"/>
      <c r="LCM48" s="20"/>
      <c r="LCN48" s="20"/>
      <c r="LCY48" s="20"/>
      <c r="LCZ48" s="20"/>
      <c r="LDK48" s="20"/>
      <c r="LDL48" s="20"/>
      <c r="LDW48" s="20"/>
      <c r="LDX48" s="20"/>
      <c r="LEI48" s="20"/>
      <c r="LEJ48" s="20"/>
      <c r="LEU48" s="20"/>
      <c r="LEV48" s="20"/>
      <c r="LFG48" s="20"/>
      <c r="LFH48" s="20"/>
      <c r="LFS48" s="20"/>
      <c r="LFT48" s="20"/>
      <c r="LGE48" s="20"/>
      <c r="LGF48" s="20"/>
      <c r="LGQ48" s="20"/>
      <c r="LGR48" s="20"/>
      <c r="LHC48" s="20"/>
      <c r="LHD48" s="20"/>
      <c r="LHO48" s="20"/>
      <c r="LHP48" s="20"/>
      <c r="LIA48" s="20"/>
      <c r="LIB48" s="20"/>
      <c r="LIM48" s="20"/>
      <c r="LIN48" s="20"/>
      <c r="LIY48" s="20"/>
      <c r="LIZ48" s="20"/>
      <c r="LJK48" s="20"/>
      <c r="LJL48" s="20"/>
      <c r="LJW48" s="20"/>
      <c r="LJX48" s="20"/>
      <c r="LKI48" s="20"/>
      <c r="LKJ48" s="20"/>
      <c r="LKU48" s="20"/>
      <c r="LKV48" s="20"/>
      <c r="LLG48" s="20"/>
      <c r="LLH48" s="20"/>
      <c r="LLS48" s="20"/>
      <c r="LLT48" s="20"/>
      <c r="LME48" s="20"/>
      <c r="LMF48" s="20"/>
      <c r="LMQ48" s="20"/>
      <c r="LMR48" s="20"/>
      <c r="LNC48" s="20"/>
      <c r="LND48" s="20"/>
      <c r="LNO48" s="20"/>
      <c r="LNP48" s="20"/>
      <c r="LOA48" s="20"/>
      <c r="LOB48" s="20"/>
      <c r="LOM48" s="20"/>
      <c r="LON48" s="20"/>
      <c r="LOY48" s="20"/>
      <c r="LOZ48" s="20"/>
      <c r="LPK48" s="20"/>
      <c r="LPL48" s="20"/>
      <c r="LPW48" s="20"/>
      <c r="LPX48" s="20"/>
      <c r="LQI48" s="20"/>
      <c r="LQJ48" s="20"/>
      <c r="LQU48" s="20"/>
      <c r="LQV48" s="20"/>
      <c r="LRG48" s="20"/>
      <c r="LRH48" s="20"/>
      <c r="LRS48" s="20"/>
      <c r="LRT48" s="20"/>
      <c r="LSE48" s="20"/>
      <c r="LSF48" s="20"/>
      <c r="LSQ48" s="20"/>
      <c r="LSR48" s="20"/>
      <c r="LTC48" s="20"/>
      <c r="LTD48" s="20"/>
      <c r="LTO48" s="20"/>
      <c r="LTP48" s="20"/>
      <c r="LUA48" s="20"/>
      <c r="LUB48" s="20"/>
      <c r="LUM48" s="20"/>
      <c r="LUN48" s="20"/>
      <c r="LUY48" s="20"/>
      <c r="LUZ48" s="20"/>
      <c r="LVK48" s="20"/>
      <c r="LVL48" s="20"/>
      <c r="LVW48" s="20"/>
      <c r="LVX48" s="20"/>
      <c r="LWI48" s="20"/>
      <c r="LWJ48" s="20"/>
      <c r="LWU48" s="20"/>
      <c r="LWV48" s="20"/>
      <c r="LXG48" s="20"/>
      <c r="LXH48" s="20"/>
      <c r="LXS48" s="20"/>
      <c r="LXT48" s="20"/>
      <c r="LYE48" s="20"/>
      <c r="LYF48" s="20"/>
      <c r="LYQ48" s="20"/>
      <c r="LYR48" s="20"/>
      <c r="LZC48" s="20"/>
      <c r="LZD48" s="20"/>
      <c r="LZO48" s="20"/>
      <c r="LZP48" s="20"/>
      <c r="MAA48" s="20"/>
      <c r="MAB48" s="20"/>
      <c r="MAM48" s="20"/>
      <c r="MAN48" s="20"/>
      <c r="MAY48" s="20"/>
      <c r="MAZ48" s="20"/>
      <c r="MBK48" s="20"/>
      <c r="MBL48" s="20"/>
      <c r="MBW48" s="20"/>
      <c r="MBX48" s="20"/>
      <c r="MCI48" s="20"/>
      <c r="MCJ48" s="20"/>
      <c r="MCU48" s="20"/>
      <c r="MCV48" s="20"/>
      <c r="MDG48" s="20"/>
      <c r="MDH48" s="20"/>
      <c r="MDS48" s="20"/>
      <c r="MDT48" s="20"/>
      <c r="MEE48" s="20"/>
      <c r="MEF48" s="20"/>
      <c r="MEQ48" s="20"/>
      <c r="MER48" s="20"/>
      <c r="MFC48" s="20"/>
      <c r="MFD48" s="20"/>
      <c r="MFO48" s="20"/>
      <c r="MFP48" s="20"/>
      <c r="MGA48" s="20"/>
      <c r="MGB48" s="20"/>
      <c r="MGM48" s="20"/>
      <c r="MGN48" s="20"/>
      <c r="MGY48" s="20"/>
      <c r="MGZ48" s="20"/>
      <c r="MHK48" s="20"/>
      <c r="MHL48" s="20"/>
      <c r="MHW48" s="20"/>
      <c r="MHX48" s="20"/>
      <c r="MII48" s="20"/>
      <c r="MIJ48" s="20"/>
      <c r="MIU48" s="20"/>
      <c r="MIV48" s="20"/>
      <c r="MJG48" s="20"/>
      <c r="MJH48" s="20"/>
      <c r="MJS48" s="20"/>
      <c r="MJT48" s="20"/>
      <c r="MKE48" s="20"/>
      <c r="MKF48" s="20"/>
      <c r="MKQ48" s="20"/>
      <c r="MKR48" s="20"/>
      <c r="MLC48" s="20"/>
      <c r="MLD48" s="20"/>
      <c r="MLO48" s="20"/>
      <c r="MLP48" s="20"/>
      <c r="MMA48" s="20"/>
      <c r="MMB48" s="20"/>
      <c r="MMM48" s="20"/>
      <c r="MMN48" s="20"/>
      <c r="MMY48" s="20"/>
      <c r="MMZ48" s="20"/>
      <c r="MNK48" s="20"/>
      <c r="MNL48" s="20"/>
      <c r="MNW48" s="20"/>
      <c r="MNX48" s="20"/>
      <c r="MOI48" s="20"/>
      <c r="MOJ48" s="20"/>
      <c r="MOU48" s="20"/>
      <c r="MOV48" s="20"/>
      <c r="MPG48" s="20"/>
      <c r="MPH48" s="20"/>
      <c r="MPS48" s="20"/>
      <c r="MPT48" s="20"/>
      <c r="MQE48" s="20"/>
      <c r="MQF48" s="20"/>
      <c r="MQQ48" s="20"/>
      <c r="MQR48" s="20"/>
      <c r="MRC48" s="20"/>
      <c r="MRD48" s="20"/>
      <c r="MRO48" s="20"/>
      <c r="MRP48" s="20"/>
      <c r="MSA48" s="20"/>
      <c r="MSB48" s="20"/>
      <c r="MSM48" s="20"/>
      <c r="MSN48" s="20"/>
      <c r="MSY48" s="20"/>
      <c r="MSZ48" s="20"/>
      <c r="MTK48" s="20"/>
      <c r="MTL48" s="20"/>
      <c r="MTW48" s="20"/>
      <c r="MTX48" s="20"/>
      <c r="MUI48" s="20"/>
      <c r="MUJ48" s="20"/>
      <c r="MUU48" s="20"/>
      <c r="MUV48" s="20"/>
      <c r="MVG48" s="20"/>
      <c r="MVH48" s="20"/>
      <c r="MVS48" s="20"/>
      <c r="MVT48" s="20"/>
      <c r="MWE48" s="20"/>
      <c r="MWF48" s="20"/>
      <c r="MWQ48" s="20"/>
      <c r="MWR48" s="20"/>
      <c r="MXC48" s="20"/>
      <c r="MXD48" s="20"/>
      <c r="MXO48" s="20"/>
      <c r="MXP48" s="20"/>
      <c r="MYA48" s="20"/>
      <c r="MYB48" s="20"/>
      <c r="MYM48" s="20"/>
      <c r="MYN48" s="20"/>
      <c r="MYY48" s="20"/>
      <c r="MYZ48" s="20"/>
      <c r="MZK48" s="20"/>
      <c r="MZL48" s="20"/>
      <c r="MZW48" s="20"/>
      <c r="MZX48" s="20"/>
      <c r="NAI48" s="20"/>
      <c r="NAJ48" s="20"/>
      <c r="NAU48" s="20"/>
      <c r="NAV48" s="20"/>
      <c r="NBG48" s="20"/>
      <c r="NBH48" s="20"/>
      <c r="NBS48" s="20"/>
      <c r="NBT48" s="20"/>
      <c r="NCE48" s="20"/>
      <c r="NCF48" s="20"/>
      <c r="NCQ48" s="20"/>
      <c r="NCR48" s="20"/>
      <c r="NDC48" s="20"/>
      <c r="NDD48" s="20"/>
      <c r="NDO48" s="20"/>
      <c r="NDP48" s="20"/>
      <c r="NEA48" s="20"/>
      <c r="NEB48" s="20"/>
      <c r="NEM48" s="20"/>
      <c r="NEN48" s="20"/>
      <c r="NEY48" s="20"/>
      <c r="NEZ48" s="20"/>
      <c r="NFK48" s="20"/>
      <c r="NFL48" s="20"/>
      <c r="NFW48" s="20"/>
      <c r="NFX48" s="20"/>
      <c r="NGI48" s="20"/>
      <c r="NGJ48" s="20"/>
      <c r="NGU48" s="20"/>
      <c r="NGV48" s="20"/>
      <c r="NHG48" s="20"/>
      <c r="NHH48" s="20"/>
      <c r="NHS48" s="20"/>
      <c r="NHT48" s="20"/>
      <c r="NIE48" s="20"/>
      <c r="NIF48" s="20"/>
      <c r="NIQ48" s="20"/>
      <c r="NIR48" s="20"/>
      <c r="NJC48" s="20"/>
      <c r="NJD48" s="20"/>
      <c r="NJO48" s="20"/>
      <c r="NJP48" s="20"/>
      <c r="NKA48" s="20"/>
      <c r="NKB48" s="20"/>
      <c r="NKM48" s="20"/>
      <c r="NKN48" s="20"/>
      <c r="NKY48" s="20"/>
      <c r="NKZ48" s="20"/>
      <c r="NLK48" s="20"/>
      <c r="NLL48" s="20"/>
      <c r="NLW48" s="20"/>
      <c r="NLX48" s="20"/>
      <c r="NMI48" s="20"/>
      <c r="NMJ48" s="20"/>
      <c r="NMU48" s="20"/>
      <c r="NMV48" s="20"/>
      <c r="NNG48" s="20"/>
      <c r="NNH48" s="20"/>
      <c r="NNS48" s="20"/>
      <c r="NNT48" s="20"/>
      <c r="NOE48" s="20"/>
      <c r="NOF48" s="20"/>
      <c r="NOQ48" s="20"/>
      <c r="NOR48" s="20"/>
      <c r="NPC48" s="20"/>
      <c r="NPD48" s="20"/>
      <c r="NPO48" s="20"/>
      <c r="NPP48" s="20"/>
      <c r="NQA48" s="20"/>
      <c r="NQB48" s="20"/>
      <c r="NQM48" s="20"/>
      <c r="NQN48" s="20"/>
      <c r="NQY48" s="20"/>
      <c r="NQZ48" s="20"/>
      <c r="NRK48" s="20"/>
      <c r="NRL48" s="20"/>
      <c r="NRW48" s="20"/>
      <c r="NRX48" s="20"/>
      <c r="NSI48" s="20"/>
      <c r="NSJ48" s="20"/>
      <c r="NSU48" s="20"/>
      <c r="NSV48" s="20"/>
      <c r="NTG48" s="20"/>
      <c r="NTH48" s="20"/>
      <c r="NTS48" s="20"/>
      <c r="NTT48" s="20"/>
      <c r="NUE48" s="20"/>
      <c r="NUF48" s="20"/>
      <c r="NUQ48" s="20"/>
      <c r="NUR48" s="20"/>
      <c r="NVC48" s="20"/>
      <c r="NVD48" s="20"/>
      <c r="NVO48" s="20"/>
      <c r="NVP48" s="20"/>
      <c r="NWA48" s="20"/>
      <c r="NWB48" s="20"/>
      <c r="NWM48" s="20"/>
      <c r="NWN48" s="20"/>
      <c r="NWY48" s="20"/>
      <c r="NWZ48" s="20"/>
      <c r="NXK48" s="20"/>
      <c r="NXL48" s="20"/>
      <c r="NXW48" s="20"/>
      <c r="NXX48" s="20"/>
      <c r="NYI48" s="20"/>
      <c r="NYJ48" s="20"/>
      <c r="NYU48" s="20"/>
      <c r="NYV48" s="20"/>
      <c r="NZG48" s="20"/>
      <c r="NZH48" s="20"/>
      <c r="NZS48" s="20"/>
      <c r="NZT48" s="20"/>
      <c r="OAE48" s="20"/>
      <c r="OAF48" s="20"/>
      <c r="OAQ48" s="20"/>
      <c r="OAR48" s="20"/>
      <c r="OBC48" s="20"/>
      <c r="OBD48" s="20"/>
      <c r="OBO48" s="20"/>
      <c r="OBP48" s="20"/>
      <c r="OCA48" s="20"/>
      <c r="OCB48" s="20"/>
      <c r="OCM48" s="20"/>
      <c r="OCN48" s="20"/>
      <c r="OCY48" s="20"/>
      <c r="OCZ48" s="20"/>
      <c r="ODK48" s="20"/>
      <c r="ODL48" s="20"/>
      <c r="ODW48" s="20"/>
      <c r="ODX48" s="20"/>
      <c r="OEI48" s="20"/>
      <c r="OEJ48" s="20"/>
      <c r="OEU48" s="20"/>
      <c r="OEV48" s="20"/>
      <c r="OFG48" s="20"/>
      <c r="OFH48" s="20"/>
      <c r="OFS48" s="20"/>
      <c r="OFT48" s="20"/>
      <c r="OGE48" s="20"/>
      <c r="OGF48" s="20"/>
      <c r="OGQ48" s="20"/>
      <c r="OGR48" s="20"/>
      <c r="OHC48" s="20"/>
      <c r="OHD48" s="20"/>
      <c r="OHO48" s="20"/>
      <c r="OHP48" s="20"/>
      <c r="OIA48" s="20"/>
      <c r="OIB48" s="20"/>
      <c r="OIM48" s="20"/>
      <c r="OIN48" s="20"/>
      <c r="OIY48" s="20"/>
      <c r="OIZ48" s="20"/>
      <c r="OJK48" s="20"/>
      <c r="OJL48" s="20"/>
      <c r="OJW48" s="20"/>
      <c r="OJX48" s="20"/>
      <c r="OKI48" s="20"/>
      <c r="OKJ48" s="20"/>
      <c r="OKU48" s="20"/>
      <c r="OKV48" s="20"/>
      <c r="OLG48" s="20"/>
      <c r="OLH48" s="20"/>
      <c r="OLS48" s="20"/>
      <c r="OLT48" s="20"/>
      <c r="OME48" s="20"/>
      <c r="OMF48" s="20"/>
      <c r="OMQ48" s="20"/>
      <c r="OMR48" s="20"/>
      <c r="ONC48" s="20"/>
      <c r="OND48" s="20"/>
      <c r="ONO48" s="20"/>
      <c r="ONP48" s="20"/>
      <c r="OOA48" s="20"/>
      <c r="OOB48" s="20"/>
      <c r="OOM48" s="20"/>
      <c r="OON48" s="20"/>
      <c r="OOY48" s="20"/>
      <c r="OOZ48" s="20"/>
      <c r="OPK48" s="20"/>
      <c r="OPL48" s="20"/>
      <c r="OPW48" s="20"/>
      <c r="OPX48" s="20"/>
      <c r="OQI48" s="20"/>
      <c r="OQJ48" s="20"/>
      <c r="OQU48" s="20"/>
      <c r="OQV48" s="20"/>
      <c r="ORG48" s="20"/>
      <c r="ORH48" s="20"/>
      <c r="ORS48" s="20"/>
      <c r="ORT48" s="20"/>
      <c r="OSE48" s="20"/>
      <c r="OSF48" s="20"/>
      <c r="OSQ48" s="20"/>
      <c r="OSR48" s="20"/>
      <c r="OTC48" s="20"/>
      <c r="OTD48" s="20"/>
      <c r="OTO48" s="20"/>
      <c r="OTP48" s="20"/>
      <c r="OUA48" s="20"/>
      <c r="OUB48" s="20"/>
      <c r="OUM48" s="20"/>
      <c r="OUN48" s="20"/>
      <c r="OUY48" s="20"/>
      <c r="OUZ48" s="20"/>
      <c r="OVK48" s="20"/>
      <c r="OVL48" s="20"/>
      <c r="OVW48" s="20"/>
      <c r="OVX48" s="20"/>
      <c r="OWI48" s="20"/>
      <c r="OWJ48" s="20"/>
      <c r="OWU48" s="20"/>
      <c r="OWV48" s="20"/>
      <c r="OXG48" s="20"/>
      <c r="OXH48" s="20"/>
      <c r="OXS48" s="20"/>
      <c r="OXT48" s="20"/>
      <c r="OYE48" s="20"/>
      <c r="OYF48" s="20"/>
      <c r="OYQ48" s="20"/>
      <c r="OYR48" s="20"/>
      <c r="OZC48" s="20"/>
      <c r="OZD48" s="20"/>
      <c r="OZO48" s="20"/>
      <c r="OZP48" s="20"/>
      <c r="PAA48" s="20"/>
      <c r="PAB48" s="20"/>
      <c r="PAM48" s="20"/>
      <c r="PAN48" s="20"/>
      <c r="PAY48" s="20"/>
      <c r="PAZ48" s="20"/>
      <c r="PBK48" s="20"/>
      <c r="PBL48" s="20"/>
      <c r="PBW48" s="20"/>
      <c r="PBX48" s="20"/>
      <c r="PCI48" s="20"/>
      <c r="PCJ48" s="20"/>
      <c r="PCU48" s="20"/>
      <c r="PCV48" s="20"/>
      <c r="PDG48" s="20"/>
      <c r="PDH48" s="20"/>
      <c r="PDS48" s="20"/>
      <c r="PDT48" s="20"/>
      <c r="PEE48" s="20"/>
      <c r="PEF48" s="20"/>
      <c r="PEQ48" s="20"/>
      <c r="PER48" s="20"/>
      <c r="PFC48" s="20"/>
      <c r="PFD48" s="20"/>
      <c r="PFO48" s="20"/>
      <c r="PFP48" s="20"/>
      <c r="PGA48" s="20"/>
      <c r="PGB48" s="20"/>
      <c r="PGM48" s="20"/>
      <c r="PGN48" s="20"/>
      <c r="PGY48" s="20"/>
      <c r="PGZ48" s="20"/>
      <c r="PHK48" s="20"/>
      <c r="PHL48" s="20"/>
      <c r="PHW48" s="20"/>
      <c r="PHX48" s="20"/>
      <c r="PII48" s="20"/>
      <c r="PIJ48" s="20"/>
      <c r="PIU48" s="20"/>
      <c r="PIV48" s="20"/>
      <c r="PJG48" s="20"/>
      <c r="PJH48" s="20"/>
      <c r="PJS48" s="20"/>
      <c r="PJT48" s="20"/>
      <c r="PKE48" s="20"/>
      <c r="PKF48" s="20"/>
      <c r="PKQ48" s="20"/>
      <c r="PKR48" s="20"/>
      <c r="PLC48" s="20"/>
      <c r="PLD48" s="20"/>
      <c r="PLO48" s="20"/>
      <c r="PLP48" s="20"/>
      <c r="PMA48" s="20"/>
      <c r="PMB48" s="20"/>
      <c r="PMM48" s="20"/>
      <c r="PMN48" s="20"/>
      <c r="PMY48" s="20"/>
      <c r="PMZ48" s="20"/>
      <c r="PNK48" s="20"/>
      <c r="PNL48" s="20"/>
      <c r="PNW48" s="20"/>
      <c r="PNX48" s="20"/>
      <c r="POI48" s="20"/>
      <c r="POJ48" s="20"/>
      <c r="POU48" s="20"/>
      <c r="POV48" s="20"/>
      <c r="PPG48" s="20"/>
      <c r="PPH48" s="20"/>
      <c r="PPS48" s="20"/>
      <c r="PPT48" s="20"/>
      <c r="PQE48" s="20"/>
      <c r="PQF48" s="20"/>
      <c r="PQQ48" s="20"/>
      <c r="PQR48" s="20"/>
      <c r="PRC48" s="20"/>
      <c r="PRD48" s="20"/>
      <c r="PRO48" s="20"/>
      <c r="PRP48" s="20"/>
      <c r="PSA48" s="20"/>
      <c r="PSB48" s="20"/>
      <c r="PSM48" s="20"/>
      <c r="PSN48" s="20"/>
      <c r="PSY48" s="20"/>
      <c r="PSZ48" s="20"/>
      <c r="PTK48" s="20"/>
      <c r="PTL48" s="20"/>
      <c r="PTW48" s="20"/>
      <c r="PTX48" s="20"/>
      <c r="PUI48" s="20"/>
      <c r="PUJ48" s="20"/>
      <c r="PUU48" s="20"/>
      <c r="PUV48" s="20"/>
      <c r="PVG48" s="20"/>
      <c r="PVH48" s="20"/>
      <c r="PVS48" s="20"/>
      <c r="PVT48" s="20"/>
      <c r="PWE48" s="20"/>
      <c r="PWF48" s="20"/>
      <c r="PWQ48" s="20"/>
      <c r="PWR48" s="20"/>
      <c r="PXC48" s="20"/>
      <c r="PXD48" s="20"/>
      <c r="PXO48" s="20"/>
      <c r="PXP48" s="20"/>
      <c r="PYA48" s="20"/>
      <c r="PYB48" s="20"/>
      <c r="PYM48" s="20"/>
      <c r="PYN48" s="20"/>
      <c r="PYY48" s="20"/>
      <c r="PYZ48" s="20"/>
      <c r="PZK48" s="20"/>
      <c r="PZL48" s="20"/>
      <c r="PZW48" s="20"/>
      <c r="PZX48" s="20"/>
      <c r="QAI48" s="20"/>
      <c r="QAJ48" s="20"/>
      <c r="QAU48" s="20"/>
      <c r="QAV48" s="20"/>
      <c r="QBG48" s="20"/>
      <c r="QBH48" s="20"/>
      <c r="QBS48" s="20"/>
      <c r="QBT48" s="20"/>
      <c r="QCE48" s="20"/>
      <c r="QCF48" s="20"/>
      <c r="QCQ48" s="20"/>
      <c r="QCR48" s="20"/>
      <c r="QDC48" s="20"/>
      <c r="QDD48" s="20"/>
      <c r="QDO48" s="20"/>
      <c r="QDP48" s="20"/>
      <c r="QEA48" s="20"/>
      <c r="QEB48" s="20"/>
      <c r="QEM48" s="20"/>
      <c r="QEN48" s="20"/>
      <c r="QEY48" s="20"/>
      <c r="QEZ48" s="20"/>
      <c r="QFK48" s="20"/>
      <c r="QFL48" s="20"/>
      <c r="QFW48" s="20"/>
      <c r="QFX48" s="20"/>
      <c r="QGI48" s="20"/>
      <c r="QGJ48" s="20"/>
      <c r="QGU48" s="20"/>
      <c r="QGV48" s="20"/>
      <c r="QHG48" s="20"/>
      <c r="QHH48" s="20"/>
      <c r="QHS48" s="20"/>
      <c r="QHT48" s="20"/>
      <c r="QIE48" s="20"/>
      <c r="QIF48" s="20"/>
      <c r="QIQ48" s="20"/>
      <c r="QIR48" s="20"/>
      <c r="QJC48" s="20"/>
      <c r="QJD48" s="20"/>
      <c r="QJO48" s="20"/>
      <c r="QJP48" s="20"/>
      <c r="QKA48" s="20"/>
      <c r="QKB48" s="20"/>
      <c r="QKM48" s="20"/>
      <c r="QKN48" s="20"/>
      <c r="QKY48" s="20"/>
      <c r="QKZ48" s="20"/>
      <c r="QLK48" s="20"/>
      <c r="QLL48" s="20"/>
      <c r="QLW48" s="20"/>
      <c r="QLX48" s="20"/>
      <c r="QMI48" s="20"/>
      <c r="QMJ48" s="20"/>
      <c r="QMU48" s="20"/>
      <c r="QMV48" s="20"/>
      <c r="QNG48" s="20"/>
      <c r="QNH48" s="20"/>
      <c r="QNS48" s="20"/>
      <c r="QNT48" s="20"/>
      <c r="QOE48" s="20"/>
      <c r="QOF48" s="20"/>
      <c r="QOQ48" s="20"/>
      <c r="QOR48" s="20"/>
      <c r="QPC48" s="20"/>
      <c r="QPD48" s="20"/>
      <c r="QPO48" s="20"/>
      <c r="QPP48" s="20"/>
      <c r="QQA48" s="20"/>
      <c r="QQB48" s="20"/>
      <c r="QQM48" s="20"/>
      <c r="QQN48" s="20"/>
      <c r="QQY48" s="20"/>
      <c r="QQZ48" s="20"/>
      <c r="QRK48" s="20"/>
      <c r="QRL48" s="20"/>
      <c r="QRW48" s="20"/>
      <c r="QRX48" s="20"/>
      <c r="QSI48" s="20"/>
      <c r="QSJ48" s="20"/>
      <c r="QSU48" s="20"/>
      <c r="QSV48" s="20"/>
      <c r="QTG48" s="20"/>
      <c r="QTH48" s="20"/>
      <c r="QTS48" s="20"/>
      <c r="QTT48" s="20"/>
      <c r="QUE48" s="20"/>
      <c r="QUF48" s="20"/>
      <c r="QUQ48" s="20"/>
      <c r="QUR48" s="20"/>
      <c r="QVC48" s="20"/>
      <c r="QVD48" s="20"/>
      <c r="QVO48" s="20"/>
      <c r="QVP48" s="20"/>
      <c r="QWA48" s="20"/>
      <c r="QWB48" s="20"/>
      <c r="QWM48" s="20"/>
      <c r="QWN48" s="20"/>
      <c r="QWY48" s="20"/>
      <c r="QWZ48" s="20"/>
      <c r="QXK48" s="20"/>
      <c r="QXL48" s="20"/>
      <c r="QXW48" s="20"/>
      <c r="QXX48" s="20"/>
      <c r="QYI48" s="20"/>
      <c r="QYJ48" s="20"/>
      <c r="QYU48" s="20"/>
      <c r="QYV48" s="20"/>
      <c r="QZG48" s="20"/>
      <c r="QZH48" s="20"/>
      <c r="QZS48" s="20"/>
      <c r="QZT48" s="20"/>
      <c r="RAE48" s="20"/>
      <c r="RAF48" s="20"/>
      <c r="RAQ48" s="20"/>
      <c r="RAR48" s="20"/>
      <c r="RBC48" s="20"/>
      <c r="RBD48" s="20"/>
      <c r="RBO48" s="20"/>
      <c r="RBP48" s="20"/>
      <c r="RCA48" s="20"/>
      <c r="RCB48" s="20"/>
      <c r="RCM48" s="20"/>
      <c r="RCN48" s="20"/>
      <c r="RCY48" s="20"/>
      <c r="RCZ48" s="20"/>
      <c r="RDK48" s="20"/>
      <c r="RDL48" s="20"/>
      <c r="RDW48" s="20"/>
      <c r="RDX48" s="20"/>
      <c r="REI48" s="20"/>
      <c r="REJ48" s="20"/>
      <c r="REU48" s="20"/>
      <c r="REV48" s="20"/>
      <c r="RFG48" s="20"/>
      <c r="RFH48" s="20"/>
      <c r="RFS48" s="20"/>
      <c r="RFT48" s="20"/>
      <c r="RGE48" s="20"/>
      <c r="RGF48" s="20"/>
      <c r="RGQ48" s="20"/>
      <c r="RGR48" s="20"/>
      <c r="RHC48" s="20"/>
      <c r="RHD48" s="20"/>
      <c r="RHO48" s="20"/>
      <c r="RHP48" s="20"/>
      <c r="RIA48" s="20"/>
      <c r="RIB48" s="20"/>
      <c r="RIM48" s="20"/>
      <c r="RIN48" s="20"/>
      <c r="RIY48" s="20"/>
      <c r="RIZ48" s="20"/>
      <c r="RJK48" s="20"/>
      <c r="RJL48" s="20"/>
      <c r="RJW48" s="20"/>
      <c r="RJX48" s="20"/>
      <c r="RKI48" s="20"/>
      <c r="RKJ48" s="20"/>
      <c r="RKU48" s="20"/>
      <c r="RKV48" s="20"/>
      <c r="RLG48" s="20"/>
      <c r="RLH48" s="20"/>
      <c r="RLS48" s="20"/>
      <c r="RLT48" s="20"/>
      <c r="RME48" s="20"/>
      <c r="RMF48" s="20"/>
      <c r="RMQ48" s="20"/>
      <c r="RMR48" s="20"/>
      <c r="RNC48" s="20"/>
      <c r="RND48" s="20"/>
      <c r="RNO48" s="20"/>
      <c r="RNP48" s="20"/>
      <c r="ROA48" s="20"/>
      <c r="ROB48" s="20"/>
      <c r="ROM48" s="20"/>
      <c r="RON48" s="20"/>
      <c r="ROY48" s="20"/>
      <c r="ROZ48" s="20"/>
      <c r="RPK48" s="20"/>
      <c r="RPL48" s="20"/>
      <c r="RPW48" s="20"/>
      <c r="RPX48" s="20"/>
      <c r="RQI48" s="20"/>
      <c r="RQJ48" s="20"/>
      <c r="RQU48" s="20"/>
      <c r="RQV48" s="20"/>
      <c r="RRG48" s="20"/>
      <c r="RRH48" s="20"/>
      <c r="RRS48" s="20"/>
      <c r="RRT48" s="20"/>
      <c r="RSE48" s="20"/>
      <c r="RSF48" s="20"/>
      <c r="RSQ48" s="20"/>
      <c r="RSR48" s="20"/>
      <c r="RTC48" s="20"/>
      <c r="RTD48" s="20"/>
      <c r="RTO48" s="20"/>
      <c r="RTP48" s="20"/>
      <c r="RUA48" s="20"/>
      <c r="RUB48" s="20"/>
      <c r="RUM48" s="20"/>
      <c r="RUN48" s="20"/>
      <c r="RUY48" s="20"/>
      <c r="RUZ48" s="20"/>
      <c r="RVK48" s="20"/>
      <c r="RVL48" s="20"/>
      <c r="RVW48" s="20"/>
      <c r="RVX48" s="20"/>
      <c r="RWI48" s="20"/>
      <c r="RWJ48" s="20"/>
      <c r="RWU48" s="20"/>
      <c r="RWV48" s="20"/>
      <c r="RXG48" s="20"/>
      <c r="RXH48" s="20"/>
      <c r="RXS48" s="20"/>
      <c r="RXT48" s="20"/>
      <c r="RYE48" s="20"/>
      <c r="RYF48" s="20"/>
      <c r="RYQ48" s="20"/>
      <c r="RYR48" s="20"/>
      <c r="RZC48" s="20"/>
      <c r="RZD48" s="20"/>
      <c r="RZO48" s="20"/>
      <c r="RZP48" s="20"/>
      <c r="SAA48" s="20"/>
      <c r="SAB48" s="20"/>
      <c r="SAM48" s="20"/>
      <c r="SAN48" s="20"/>
      <c r="SAY48" s="20"/>
      <c r="SAZ48" s="20"/>
      <c r="SBK48" s="20"/>
      <c r="SBL48" s="20"/>
      <c r="SBW48" s="20"/>
      <c r="SBX48" s="20"/>
      <c r="SCI48" s="20"/>
      <c r="SCJ48" s="20"/>
      <c r="SCU48" s="20"/>
      <c r="SCV48" s="20"/>
      <c r="SDG48" s="20"/>
      <c r="SDH48" s="20"/>
      <c r="SDS48" s="20"/>
      <c r="SDT48" s="20"/>
      <c r="SEE48" s="20"/>
      <c r="SEF48" s="20"/>
      <c r="SEQ48" s="20"/>
      <c r="SER48" s="20"/>
      <c r="SFC48" s="20"/>
      <c r="SFD48" s="20"/>
      <c r="SFO48" s="20"/>
      <c r="SFP48" s="20"/>
      <c r="SGA48" s="20"/>
      <c r="SGB48" s="20"/>
      <c r="SGM48" s="20"/>
      <c r="SGN48" s="20"/>
      <c r="SGY48" s="20"/>
      <c r="SGZ48" s="20"/>
      <c r="SHK48" s="20"/>
      <c r="SHL48" s="20"/>
      <c r="SHW48" s="20"/>
      <c r="SHX48" s="20"/>
      <c r="SII48" s="20"/>
      <c r="SIJ48" s="20"/>
      <c r="SIU48" s="20"/>
      <c r="SIV48" s="20"/>
      <c r="SJG48" s="20"/>
      <c r="SJH48" s="20"/>
      <c r="SJS48" s="20"/>
      <c r="SJT48" s="20"/>
      <c r="SKE48" s="20"/>
      <c r="SKF48" s="20"/>
      <c r="SKQ48" s="20"/>
      <c r="SKR48" s="20"/>
      <c r="SLC48" s="20"/>
      <c r="SLD48" s="20"/>
      <c r="SLO48" s="20"/>
      <c r="SLP48" s="20"/>
      <c r="SMA48" s="20"/>
      <c r="SMB48" s="20"/>
      <c r="SMM48" s="20"/>
      <c r="SMN48" s="20"/>
      <c r="SMY48" s="20"/>
      <c r="SMZ48" s="20"/>
      <c r="SNK48" s="20"/>
      <c r="SNL48" s="20"/>
      <c r="SNW48" s="20"/>
      <c r="SNX48" s="20"/>
      <c r="SOI48" s="20"/>
      <c r="SOJ48" s="20"/>
      <c r="SOU48" s="20"/>
      <c r="SOV48" s="20"/>
      <c r="SPG48" s="20"/>
      <c r="SPH48" s="20"/>
      <c r="SPS48" s="20"/>
      <c r="SPT48" s="20"/>
      <c r="SQE48" s="20"/>
      <c r="SQF48" s="20"/>
      <c r="SQQ48" s="20"/>
      <c r="SQR48" s="20"/>
      <c r="SRC48" s="20"/>
      <c r="SRD48" s="20"/>
      <c r="SRO48" s="20"/>
      <c r="SRP48" s="20"/>
      <c r="SSA48" s="20"/>
      <c r="SSB48" s="20"/>
      <c r="SSM48" s="20"/>
      <c r="SSN48" s="20"/>
      <c r="SSY48" s="20"/>
      <c r="SSZ48" s="20"/>
      <c r="STK48" s="20"/>
      <c r="STL48" s="20"/>
      <c r="STW48" s="20"/>
      <c r="STX48" s="20"/>
      <c r="SUI48" s="20"/>
      <c r="SUJ48" s="20"/>
      <c r="SUU48" s="20"/>
      <c r="SUV48" s="20"/>
      <c r="SVG48" s="20"/>
      <c r="SVH48" s="20"/>
      <c r="SVS48" s="20"/>
      <c r="SVT48" s="20"/>
      <c r="SWE48" s="20"/>
      <c r="SWF48" s="20"/>
      <c r="SWQ48" s="20"/>
      <c r="SWR48" s="20"/>
      <c r="SXC48" s="20"/>
      <c r="SXD48" s="20"/>
      <c r="SXO48" s="20"/>
      <c r="SXP48" s="20"/>
      <c r="SYA48" s="20"/>
      <c r="SYB48" s="20"/>
      <c r="SYM48" s="20"/>
      <c r="SYN48" s="20"/>
      <c r="SYY48" s="20"/>
      <c r="SYZ48" s="20"/>
      <c r="SZK48" s="20"/>
      <c r="SZL48" s="20"/>
      <c r="SZW48" s="20"/>
      <c r="SZX48" s="20"/>
      <c r="TAI48" s="20"/>
      <c r="TAJ48" s="20"/>
      <c r="TAU48" s="20"/>
      <c r="TAV48" s="20"/>
      <c r="TBG48" s="20"/>
      <c r="TBH48" s="20"/>
      <c r="TBS48" s="20"/>
      <c r="TBT48" s="20"/>
      <c r="TCE48" s="20"/>
      <c r="TCF48" s="20"/>
      <c r="TCQ48" s="20"/>
      <c r="TCR48" s="20"/>
      <c r="TDC48" s="20"/>
      <c r="TDD48" s="20"/>
      <c r="TDO48" s="20"/>
      <c r="TDP48" s="20"/>
      <c r="TEA48" s="20"/>
      <c r="TEB48" s="20"/>
      <c r="TEM48" s="20"/>
      <c r="TEN48" s="20"/>
      <c r="TEY48" s="20"/>
      <c r="TEZ48" s="20"/>
      <c r="TFK48" s="20"/>
      <c r="TFL48" s="20"/>
      <c r="TFW48" s="20"/>
      <c r="TFX48" s="20"/>
      <c r="TGI48" s="20"/>
      <c r="TGJ48" s="20"/>
      <c r="TGU48" s="20"/>
      <c r="TGV48" s="20"/>
      <c r="THG48" s="20"/>
      <c r="THH48" s="20"/>
      <c r="THS48" s="20"/>
      <c r="THT48" s="20"/>
      <c r="TIE48" s="20"/>
      <c r="TIF48" s="20"/>
      <c r="TIQ48" s="20"/>
      <c r="TIR48" s="20"/>
      <c r="TJC48" s="20"/>
      <c r="TJD48" s="20"/>
      <c r="TJO48" s="20"/>
      <c r="TJP48" s="20"/>
      <c r="TKA48" s="20"/>
      <c r="TKB48" s="20"/>
      <c r="TKM48" s="20"/>
      <c r="TKN48" s="20"/>
      <c r="TKY48" s="20"/>
      <c r="TKZ48" s="20"/>
      <c r="TLK48" s="20"/>
      <c r="TLL48" s="20"/>
      <c r="TLW48" s="20"/>
      <c r="TLX48" s="20"/>
      <c r="TMI48" s="20"/>
      <c r="TMJ48" s="20"/>
      <c r="TMU48" s="20"/>
      <c r="TMV48" s="20"/>
      <c r="TNG48" s="20"/>
      <c r="TNH48" s="20"/>
      <c r="TNS48" s="20"/>
      <c r="TNT48" s="20"/>
      <c r="TOE48" s="20"/>
      <c r="TOF48" s="20"/>
      <c r="TOQ48" s="20"/>
      <c r="TOR48" s="20"/>
      <c r="TPC48" s="20"/>
      <c r="TPD48" s="20"/>
      <c r="TPO48" s="20"/>
      <c r="TPP48" s="20"/>
      <c r="TQA48" s="20"/>
      <c r="TQB48" s="20"/>
      <c r="TQM48" s="20"/>
      <c r="TQN48" s="20"/>
      <c r="TQY48" s="20"/>
      <c r="TQZ48" s="20"/>
      <c r="TRK48" s="20"/>
      <c r="TRL48" s="20"/>
      <c r="TRW48" s="20"/>
      <c r="TRX48" s="20"/>
      <c r="TSI48" s="20"/>
      <c r="TSJ48" s="20"/>
      <c r="TSU48" s="20"/>
      <c r="TSV48" s="20"/>
      <c r="TTG48" s="20"/>
      <c r="TTH48" s="20"/>
      <c r="TTS48" s="20"/>
      <c r="TTT48" s="20"/>
      <c r="TUE48" s="20"/>
      <c r="TUF48" s="20"/>
      <c r="TUQ48" s="20"/>
      <c r="TUR48" s="20"/>
      <c r="TVC48" s="20"/>
      <c r="TVD48" s="20"/>
      <c r="TVO48" s="20"/>
      <c r="TVP48" s="20"/>
      <c r="TWA48" s="20"/>
      <c r="TWB48" s="20"/>
      <c r="TWM48" s="20"/>
      <c r="TWN48" s="20"/>
      <c r="TWY48" s="20"/>
      <c r="TWZ48" s="20"/>
      <c r="TXK48" s="20"/>
      <c r="TXL48" s="20"/>
      <c r="TXW48" s="20"/>
      <c r="TXX48" s="20"/>
      <c r="TYI48" s="20"/>
      <c r="TYJ48" s="20"/>
      <c r="TYU48" s="20"/>
      <c r="TYV48" s="20"/>
      <c r="TZG48" s="20"/>
      <c r="TZH48" s="20"/>
      <c r="TZS48" s="20"/>
      <c r="TZT48" s="20"/>
      <c r="UAE48" s="20"/>
      <c r="UAF48" s="20"/>
      <c r="UAQ48" s="20"/>
      <c r="UAR48" s="20"/>
      <c r="UBC48" s="20"/>
      <c r="UBD48" s="20"/>
      <c r="UBO48" s="20"/>
      <c r="UBP48" s="20"/>
      <c r="UCA48" s="20"/>
      <c r="UCB48" s="20"/>
      <c r="UCM48" s="20"/>
      <c r="UCN48" s="20"/>
      <c r="UCY48" s="20"/>
      <c r="UCZ48" s="20"/>
      <c r="UDK48" s="20"/>
      <c r="UDL48" s="20"/>
      <c r="UDW48" s="20"/>
      <c r="UDX48" s="20"/>
      <c r="UEI48" s="20"/>
      <c r="UEJ48" s="20"/>
      <c r="UEU48" s="20"/>
      <c r="UEV48" s="20"/>
      <c r="UFG48" s="20"/>
      <c r="UFH48" s="20"/>
      <c r="UFS48" s="20"/>
      <c r="UFT48" s="20"/>
      <c r="UGE48" s="20"/>
      <c r="UGF48" s="20"/>
      <c r="UGQ48" s="20"/>
      <c r="UGR48" s="20"/>
      <c r="UHC48" s="20"/>
      <c r="UHD48" s="20"/>
      <c r="UHO48" s="20"/>
      <c r="UHP48" s="20"/>
      <c r="UIA48" s="20"/>
      <c r="UIB48" s="20"/>
      <c r="UIM48" s="20"/>
      <c r="UIN48" s="20"/>
      <c r="UIY48" s="20"/>
      <c r="UIZ48" s="20"/>
      <c r="UJK48" s="20"/>
      <c r="UJL48" s="20"/>
      <c r="UJW48" s="20"/>
      <c r="UJX48" s="20"/>
      <c r="UKI48" s="20"/>
      <c r="UKJ48" s="20"/>
      <c r="UKU48" s="20"/>
      <c r="UKV48" s="20"/>
      <c r="ULG48" s="20"/>
      <c r="ULH48" s="20"/>
      <c r="ULS48" s="20"/>
      <c r="ULT48" s="20"/>
      <c r="UME48" s="20"/>
      <c r="UMF48" s="20"/>
      <c r="UMQ48" s="20"/>
      <c r="UMR48" s="20"/>
      <c r="UNC48" s="20"/>
      <c r="UND48" s="20"/>
      <c r="UNO48" s="20"/>
      <c r="UNP48" s="20"/>
      <c r="UOA48" s="20"/>
      <c r="UOB48" s="20"/>
      <c r="UOM48" s="20"/>
      <c r="UON48" s="20"/>
      <c r="UOY48" s="20"/>
      <c r="UOZ48" s="20"/>
      <c r="UPK48" s="20"/>
      <c r="UPL48" s="20"/>
      <c r="UPW48" s="20"/>
      <c r="UPX48" s="20"/>
      <c r="UQI48" s="20"/>
      <c r="UQJ48" s="20"/>
      <c r="UQU48" s="20"/>
      <c r="UQV48" s="20"/>
      <c r="URG48" s="20"/>
      <c r="URH48" s="20"/>
      <c r="URS48" s="20"/>
      <c r="URT48" s="20"/>
      <c r="USE48" s="20"/>
      <c r="USF48" s="20"/>
      <c r="USQ48" s="20"/>
      <c r="USR48" s="20"/>
      <c r="UTC48" s="20"/>
      <c r="UTD48" s="20"/>
      <c r="UTO48" s="20"/>
      <c r="UTP48" s="20"/>
      <c r="UUA48" s="20"/>
      <c r="UUB48" s="20"/>
      <c r="UUM48" s="20"/>
      <c r="UUN48" s="20"/>
      <c r="UUY48" s="20"/>
      <c r="UUZ48" s="20"/>
      <c r="UVK48" s="20"/>
      <c r="UVL48" s="20"/>
      <c r="UVW48" s="20"/>
      <c r="UVX48" s="20"/>
      <c r="UWI48" s="20"/>
      <c r="UWJ48" s="20"/>
      <c r="UWU48" s="20"/>
      <c r="UWV48" s="20"/>
      <c r="UXG48" s="20"/>
      <c r="UXH48" s="20"/>
      <c r="UXS48" s="20"/>
      <c r="UXT48" s="20"/>
      <c r="UYE48" s="20"/>
      <c r="UYF48" s="20"/>
      <c r="UYQ48" s="20"/>
      <c r="UYR48" s="20"/>
      <c r="UZC48" s="20"/>
      <c r="UZD48" s="20"/>
      <c r="UZO48" s="20"/>
      <c r="UZP48" s="20"/>
      <c r="VAA48" s="20"/>
      <c r="VAB48" s="20"/>
      <c r="VAM48" s="20"/>
      <c r="VAN48" s="20"/>
      <c r="VAY48" s="20"/>
      <c r="VAZ48" s="20"/>
      <c r="VBK48" s="20"/>
      <c r="VBL48" s="20"/>
      <c r="VBW48" s="20"/>
      <c r="VBX48" s="20"/>
      <c r="VCI48" s="20"/>
      <c r="VCJ48" s="20"/>
      <c r="VCU48" s="20"/>
      <c r="VCV48" s="20"/>
      <c r="VDG48" s="20"/>
      <c r="VDH48" s="20"/>
      <c r="VDS48" s="20"/>
      <c r="VDT48" s="20"/>
      <c r="VEE48" s="20"/>
      <c r="VEF48" s="20"/>
      <c r="VEQ48" s="20"/>
      <c r="VER48" s="20"/>
      <c r="VFC48" s="20"/>
      <c r="VFD48" s="20"/>
      <c r="VFO48" s="20"/>
      <c r="VFP48" s="20"/>
      <c r="VGA48" s="20"/>
      <c r="VGB48" s="20"/>
      <c r="VGM48" s="20"/>
      <c r="VGN48" s="20"/>
      <c r="VGY48" s="20"/>
      <c r="VGZ48" s="20"/>
      <c r="VHK48" s="20"/>
      <c r="VHL48" s="20"/>
      <c r="VHW48" s="20"/>
      <c r="VHX48" s="20"/>
      <c r="VII48" s="20"/>
      <c r="VIJ48" s="20"/>
      <c r="VIU48" s="20"/>
      <c r="VIV48" s="20"/>
      <c r="VJG48" s="20"/>
      <c r="VJH48" s="20"/>
      <c r="VJS48" s="20"/>
      <c r="VJT48" s="20"/>
      <c r="VKE48" s="20"/>
      <c r="VKF48" s="20"/>
      <c r="VKQ48" s="20"/>
      <c r="VKR48" s="20"/>
      <c r="VLC48" s="20"/>
      <c r="VLD48" s="20"/>
      <c r="VLO48" s="20"/>
      <c r="VLP48" s="20"/>
      <c r="VMA48" s="20"/>
      <c r="VMB48" s="20"/>
      <c r="VMM48" s="20"/>
      <c r="VMN48" s="20"/>
      <c r="VMY48" s="20"/>
      <c r="VMZ48" s="20"/>
      <c r="VNK48" s="20"/>
      <c r="VNL48" s="20"/>
      <c r="VNW48" s="20"/>
      <c r="VNX48" s="20"/>
      <c r="VOI48" s="20"/>
      <c r="VOJ48" s="20"/>
      <c r="VOU48" s="20"/>
      <c r="VOV48" s="20"/>
      <c r="VPG48" s="20"/>
      <c r="VPH48" s="20"/>
      <c r="VPS48" s="20"/>
      <c r="VPT48" s="20"/>
      <c r="VQE48" s="20"/>
      <c r="VQF48" s="20"/>
      <c r="VQQ48" s="20"/>
      <c r="VQR48" s="20"/>
      <c r="VRC48" s="20"/>
      <c r="VRD48" s="20"/>
      <c r="VRO48" s="20"/>
      <c r="VRP48" s="20"/>
      <c r="VSA48" s="20"/>
      <c r="VSB48" s="20"/>
      <c r="VSM48" s="20"/>
      <c r="VSN48" s="20"/>
      <c r="VSY48" s="20"/>
      <c r="VSZ48" s="20"/>
      <c r="VTK48" s="20"/>
      <c r="VTL48" s="20"/>
      <c r="VTW48" s="20"/>
      <c r="VTX48" s="20"/>
      <c r="VUI48" s="20"/>
      <c r="VUJ48" s="20"/>
      <c r="VUU48" s="20"/>
      <c r="VUV48" s="20"/>
      <c r="VVG48" s="20"/>
      <c r="VVH48" s="20"/>
      <c r="VVS48" s="20"/>
      <c r="VVT48" s="20"/>
      <c r="VWE48" s="20"/>
      <c r="VWF48" s="20"/>
      <c r="VWQ48" s="20"/>
      <c r="VWR48" s="20"/>
      <c r="VXC48" s="20"/>
      <c r="VXD48" s="20"/>
      <c r="VXO48" s="20"/>
      <c r="VXP48" s="20"/>
      <c r="VYA48" s="20"/>
      <c r="VYB48" s="20"/>
      <c r="VYM48" s="20"/>
      <c r="VYN48" s="20"/>
      <c r="VYY48" s="20"/>
      <c r="VYZ48" s="20"/>
      <c r="VZK48" s="20"/>
      <c r="VZL48" s="20"/>
      <c r="VZW48" s="20"/>
      <c r="VZX48" s="20"/>
      <c r="WAI48" s="20"/>
      <c r="WAJ48" s="20"/>
      <c r="WAU48" s="20"/>
      <c r="WAV48" s="20"/>
      <c r="WBG48" s="20"/>
      <c r="WBH48" s="20"/>
      <c r="WBS48" s="20"/>
      <c r="WBT48" s="20"/>
      <c r="WCE48" s="20"/>
      <c r="WCF48" s="20"/>
      <c r="WCQ48" s="20"/>
      <c r="WCR48" s="20"/>
      <c r="WDC48" s="20"/>
      <c r="WDD48" s="20"/>
      <c r="WDO48" s="20"/>
      <c r="WDP48" s="20"/>
      <c r="WEA48" s="20"/>
      <c r="WEB48" s="20"/>
      <c r="WEM48" s="20"/>
      <c r="WEN48" s="20"/>
      <c r="WEY48" s="20"/>
      <c r="WEZ48" s="20"/>
      <c r="WFK48" s="20"/>
      <c r="WFL48" s="20"/>
      <c r="WFW48" s="20"/>
      <c r="WFX48" s="20"/>
      <c r="WGI48" s="20"/>
      <c r="WGJ48" s="20"/>
      <c r="WGU48" s="20"/>
      <c r="WGV48" s="20"/>
      <c r="WHG48" s="20"/>
      <c r="WHH48" s="20"/>
      <c r="WHS48" s="20"/>
      <c r="WHT48" s="20"/>
      <c r="WIE48" s="20"/>
      <c r="WIF48" s="20"/>
      <c r="WIQ48" s="20"/>
      <c r="WIR48" s="20"/>
      <c r="WJC48" s="20"/>
      <c r="WJD48" s="20"/>
      <c r="WJO48" s="20"/>
      <c r="WJP48" s="20"/>
      <c r="WKA48" s="20"/>
      <c r="WKB48" s="20"/>
      <c r="WKM48" s="20"/>
      <c r="WKN48" s="20"/>
      <c r="WKY48" s="20"/>
      <c r="WKZ48" s="20"/>
      <c r="WLK48" s="20"/>
      <c r="WLL48" s="20"/>
      <c r="WLW48" s="20"/>
      <c r="WLX48" s="20"/>
      <c r="WMI48" s="20"/>
      <c r="WMJ48" s="20"/>
      <c r="WMU48" s="20"/>
      <c r="WMV48" s="20"/>
      <c r="WNG48" s="20"/>
      <c r="WNH48" s="20"/>
      <c r="WNS48" s="20"/>
      <c r="WNT48" s="20"/>
      <c r="WOE48" s="20"/>
      <c r="WOF48" s="20"/>
      <c r="WOQ48" s="20"/>
      <c r="WOR48" s="20"/>
      <c r="WPC48" s="20"/>
      <c r="WPD48" s="20"/>
      <c r="WPO48" s="20"/>
      <c r="WPP48" s="20"/>
      <c r="WQA48" s="20"/>
      <c r="WQB48" s="20"/>
      <c r="WQM48" s="20"/>
      <c r="WQN48" s="20"/>
      <c r="WQY48" s="20"/>
      <c r="WQZ48" s="20"/>
      <c r="WRK48" s="20"/>
      <c r="WRL48" s="20"/>
      <c r="WRW48" s="20"/>
      <c r="WRX48" s="20"/>
      <c r="WSI48" s="20"/>
      <c r="WSJ48" s="20"/>
      <c r="WSU48" s="20"/>
      <c r="WSV48" s="20"/>
      <c r="WTG48" s="20"/>
      <c r="WTH48" s="20"/>
      <c r="WTS48" s="20"/>
      <c r="WTT48" s="20"/>
      <c r="WUE48" s="20"/>
      <c r="WUF48" s="20"/>
      <c r="WUQ48" s="20"/>
      <c r="WUR48" s="20"/>
      <c r="WVC48" s="20"/>
      <c r="WVD48" s="20"/>
      <c r="WVO48" s="20"/>
      <c r="WVP48" s="20"/>
      <c r="WWA48" s="20"/>
      <c r="WWB48" s="20"/>
      <c r="WWM48" s="20"/>
      <c r="WWN48" s="20"/>
      <c r="WWY48" s="20"/>
      <c r="WWZ48" s="20"/>
      <c r="WXK48" s="20"/>
      <c r="WXL48" s="20"/>
      <c r="WXW48" s="20"/>
      <c r="WXX48" s="20"/>
      <c r="WYI48" s="20"/>
      <c r="WYJ48" s="20"/>
      <c r="WYU48" s="20"/>
      <c r="WYV48" s="20"/>
      <c r="WZG48" s="20"/>
      <c r="WZH48" s="20"/>
      <c r="WZS48" s="20"/>
      <c r="WZT48" s="20"/>
      <c r="XAE48" s="20"/>
      <c r="XAF48" s="20"/>
      <c r="XAQ48" s="20"/>
      <c r="XAR48" s="20"/>
      <c r="XBC48" s="20"/>
      <c r="XBD48" s="20"/>
      <c r="XBO48" s="20"/>
      <c r="XBP48" s="20"/>
      <c r="XCA48" s="20"/>
      <c r="XCB48" s="20"/>
      <c r="XCM48" s="20"/>
      <c r="XCN48" s="20"/>
      <c r="XCY48" s="20"/>
      <c r="XCZ48" s="20"/>
      <c r="XDK48" s="20"/>
      <c r="XDL48" s="20"/>
      <c r="XDW48" s="20"/>
      <c r="XDX48" s="20"/>
      <c r="XEI48" s="20"/>
      <c r="XEJ48" s="20"/>
      <c r="XEU48" s="20"/>
      <c r="XEV48" s="20"/>
    </row>
    <row r="49" spans="1:13" ht="43.15">
      <c r="A49" s="49" t="s">
        <v>697</v>
      </c>
      <c r="B49" s="5"/>
      <c r="C49" s="5"/>
      <c r="D49" s="5"/>
      <c r="E49" s="5" t="s">
        <v>120</v>
      </c>
      <c r="F49" s="5" t="s">
        <v>732</v>
      </c>
      <c r="G49" s="5" t="s">
        <v>733</v>
      </c>
      <c r="H49" s="5" t="s">
        <v>734</v>
      </c>
      <c r="I49" s="8" t="s">
        <v>19</v>
      </c>
      <c r="J49" s="5"/>
      <c r="K49" s="5"/>
      <c r="L49" s="5"/>
      <c r="M49" s="5"/>
    </row>
    <row r="50" spans="1:13" ht="28.9">
      <c r="A50" s="49" t="s">
        <v>697</v>
      </c>
      <c r="B50" s="5"/>
      <c r="C50" s="5"/>
      <c r="D50" s="5"/>
      <c r="E50" s="5" t="s">
        <v>121</v>
      </c>
      <c r="F50" s="5" t="s">
        <v>735</v>
      </c>
      <c r="G50" s="5" t="s">
        <v>736</v>
      </c>
      <c r="H50" s="5" t="s">
        <v>737</v>
      </c>
      <c r="I50" s="8" t="s">
        <v>19</v>
      </c>
      <c r="J50" s="5"/>
      <c r="K50" s="5"/>
      <c r="L50" s="5"/>
      <c r="M50" s="5"/>
    </row>
    <row r="51" spans="1:13" ht="43.15">
      <c r="A51" s="49" t="s">
        <v>697</v>
      </c>
      <c r="B51" s="5"/>
      <c r="C51" s="5"/>
      <c r="D51" s="5"/>
      <c r="E51" s="5" t="s">
        <v>124</v>
      </c>
      <c r="F51" s="5" t="s">
        <v>738</v>
      </c>
      <c r="G51" s="5" t="s">
        <v>739</v>
      </c>
      <c r="H51" s="5" t="s">
        <v>740</v>
      </c>
      <c r="I51" s="8" t="s">
        <v>19</v>
      </c>
      <c r="J51" s="5"/>
      <c r="K51" s="5"/>
      <c r="L51" s="5"/>
      <c r="M51" s="5"/>
    </row>
    <row r="52" spans="1:13" ht="57.6">
      <c r="A52" s="49" t="s">
        <v>697</v>
      </c>
      <c r="B52" s="5"/>
      <c r="C52" s="5"/>
      <c r="D52" s="5"/>
      <c r="E52" s="5" t="s">
        <v>127</v>
      </c>
      <c r="F52" s="5" t="s">
        <v>741</v>
      </c>
      <c r="G52" s="5" t="s">
        <v>742</v>
      </c>
      <c r="H52" s="5" t="s">
        <v>743</v>
      </c>
      <c r="I52" s="8" t="s">
        <v>19</v>
      </c>
      <c r="J52" s="5"/>
      <c r="K52" s="5"/>
      <c r="L52" s="5"/>
      <c r="M52" s="5"/>
    </row>
    <row r="53" spans="1:13" ht="57.6">
      <c r="A53" s="49" t="s">
        <v>697</v>
      </c>
      <c r="B53" s="5"/>
      <c r="C53" s="5"/>
      <c r="D53" s="5"/>
      <c r="E53" s="5" t="s">
        <v>130</v>
      </c>
      <c r="F53" s="5" t="s">
        <v>744</v>
      </c>
      <c r="G53" s="5" t="s">
        <v>745</v>
      </c>
      <c r="H53" s="5" t="s">
        <v>746</v>
      </c>
      <c r="I53" s="8" t="s">
        <v>19</v>
      </c>
      <c r="J53" s="5"/>
      <c r="K53" s="5"/>
      <c r="L53" s="5"/>
      <c r="M53" s="5"/>
    </row>
    <row r="54" spans="1:13" ht="28.9">
      <c r="A54" s="49" t="s">
        <v>697</v>
      </c>
      <c r="B54" s="4" t="s">
        <v>747</v>
      </c>
      <c r="C54" s="5"/>
      <c r="D54" s="5"/>
      <c r="E54" s="5" t="s">
        <v>133</v>
      </c>
      <c r="F54" s="5" t="s">
        <v>748</v>
      </c>
      <c r="G54" s="5" t="s">
        <v>749</v>
      </c>
      <c r="H54" s="5" t="s">
        <v>750</v>
      </c>
      <c r="I54" s="8" t="s">
        <v>19</v>
      </c>
      <c r="J54" s="5"/>
      <c r="K54" s="5"/>
      <c r="L54" s="5"/>
      <c r="M54" s="5"/>
    </row>
    <row r="55" spans="1:13" ht="43.15">
      <c r="A55" s="49" t="s">
        <v>697</v>
      </c>
      <c r="B55" s="4" t="s">
        <v>751</v>
      </c>
      <c r="C55" s="5"/>
      <c r="D55" s="5"/>
      <c r="E55" s="5" t="s">
        <v>134</v>
      </c>
      <c r="F55" s="5" t="s">
        <v>752</v>
      </c>
      <c r="G55" s="5" t="s">
        <v>753</v>
      </c>
      <c r="H55" s="5" t="s">
        <v>754</v>
      </c>
      <c r="I55" s="8" t="s">
        <v>19</v>
      </c>
      <c r="J55" s="5"/>
      <c r="K55" s="5"/>
      <c r="L55" s="5"/>
      <c r="M55" s="5"/>
    </row>
    <row r="56" spans="1:13" ht="43.15">
      <c r="A56" s="49" t="s">
        <v>697</v>
      </c>
      <c r="B56" s="4" t="s">
        <v>755</v>
      </c>
      <c r="C56" s="5"/>
      <c r="D56" s="5"/>
      <c r="E56" s="5" t="s">
        <v>135</v>
      </c>
      <c r="F56" s="5" t="s">
        <v>756</v>
      </c>
      <c r="G56" s="5" t="s">
        <v>757</v>
      </c>
      <c r="H56" s="5" t="s">
        <v>758</v>
      </c>
      <c r="I56" s="8" t="s">
        <v>19</v>
      </c>
      <c r="J56" s="5"/>
      <c r="K56" s="5"/>
      <c r="L56" s="5"/>
      <c r="M56" s="5"/>
    </row>
    <row r="57" spans="1:13" ht="72">
      <c r="A57" s="49" t="s">
        <v>697</v>
      </c>
      <c r="B57" s="4" t="s">
        <v>759</v>
      </c>
      <c r="C57" s="5"/>
      <c r="D57" s="5"/>
      <c r="E57" s="5" t="s">
        <v>136</v>
      </c>
      <c r="F57" s="5" t="s">
        <v>760</v>
      </c>
      <c r="G57" s="5" t="s">
        <v>761</v>
      </c>
      <c r="H57" s="5" t="s">
        <v>762</v>
      </c>
      <c r="I57" s="8" t="s">
        <v>19</v>
      </c>
      <c r="J57" s="5"/>
      <c r="K57" s="5"/>
      <c r="L57" s="5"/>
      <c r="M57" s="5"/>
    </row>
    <row r="58" spans="1:13" ht="43.15">
      <c r="A58" s="49" t="s">
        <v>697</v>
      </c>
      <c r="B58" s="4" t="s">
        <v>763</v>
      </c>
      <c r="C58" s="5"/>
      <c r="D58" s="5"/>
      <c r="E58" s="5" t="s">
        <v>137</v>
      </c>
      <c r="F58" s="5" t="s">
        <v>764</v>
      </c>
      <c r="G58" s="5" t="s">
        <v>765</v>
      </c>
      <c r="H58" s="5" t="s">
        <v>766</v>
      </c>
      <c r="I58" s="8" t="s">
        <v>19</v>
      </c>
      <c r="J58" s="5"/>
      <c r="K58" s="5"/>
      <c r="L58" s="5"/>
      <c r="M58" s="5"/>
    </row>
    <row r="59" spans="1:13" ht="28.9">
      <c r="A59" s="49" t="s">
        <v>697</v>
      </c>
      <c r="B59" s="4" t="s">
        <v>767</v>
      </c>
      <c r="C59" s="5"/>
      <c r="D59" s="5"/>
      <c r="E59" s="5" t="s">
        <v>138</v>
      </c>
      <c r="F59" s="5" t="s">
        <v>768</v>
      </c>
      <c r="G59" s="5" t="s">
        <v>769</v>
      </c>
      <c r="H59" s="5" t="s">
        <v>770</v>
      </c>
      <c r="I59" s="8" t="s">
        <v>19</v>
      </c>
      <c r="J59" s="5"/>
      <c r="K59" s="5"/>
      <c r="L59" s="5"/>
      <c r="M59" s="5"/>
    </row>
    <row r="60" spans="1:13" ht="28.9">
      <c r="A60" s="49" t="s">
        <v>697</v>
      </c>
      <c r="B60" s="4" t="s">
        <v>771</v>
      </c>
      <c r="C60" s="5"/>
      <c r="D60" s="5"/>
      <c r="E60" s="5" t="s">
        <v>139</v>
      </c>
      <c r="F60" s="5" t="s">
        <v>772</v>
      </c>
      <c r="G60" s="5" t="s">
        <v>773</v>
      </c>
      <c r="H60" s="5" t="s">
        <v>774</v>
      </c>
      <c r="I60" s="8" t="s">
        <v>19</v>
      </c>
      <c r="J60" s="5"/>
      <c r="K60" s="5"/>
      <c r="L60" s="5"/>
      <c r="M60" s="5"/>
    </row>
    <row r="61" spans="1:13" ht="43.15">
      <c r="A61" s="49" t="s">
        <v>697</v>
      </c>
      <c r="B61" s="4" t="s">
        <v>775</v>
      </c>
      <c r="C61" s="5"/>
      <c r="D61" s="5"/>
      <c r="E61" s="5" t="s">
        <v>140</v>
      </c>
      <c r="F61" s="5" t="s">
        <v>776</v>
      </c>
      <c r="G61" s="5" t="s">
        <v>777</v>
      </c>
      <c r="H61" s="5" t="s">
        <v>778</v>
      </c>
      <c r="I61" s="8" t="s">
        <v>19</v>
      </c>
      <c r="J61" s="5"/>
      <c r="K61" s="5"/>
      <c r="L61" s="5"/>
      <c r="M61" s="5"/>
    </row>
    <row r="62" spans="1:13" ht="43.15">
      <c r="A62" s="49" t="s">
        <v>697</v>
      </c>
      <c r="B62" s="4" t="s">
        <v>779</v>
      </c>
      <c r="C62" s="5"/>
      <c r="D62" s="5"/>
      <c r="E62" s="5" t="s">
        <v>141</v>
      </c>
      <c r="F62" s="5" t="s">
        <v>780</v>
      </c>
      <c r="G62" s="5" t="s">
        <v>781</v>
      </c>
      <c r="H62" s="5" t="s">
        <v>782</v>
      </c>
      <c r="I62" s="8" t="s">
        <v>19</v>
      </c>
      <c r="J62" s="5"/>
      <c r="K62" s="5"/>
      <c r="L62" s="5"/>
      <c r="M62" s="5"/>
    </row>
    <row r="63" spans="1:13" ht="28.9">
      <c r="A63" s="49" t="s">
        <v>697</v>
      </c>
      <c r="B63" s="4" t="s">
        <v>755</v>
      </c>
      <c r="C63" s="5"/>
      <c r="D63" s="5"/>
      <c r="E63" s="5" t="s">
        <v>142</v>
      </c>
      <c r="F63" s="5" t="s">
        <v>701</v>
      </c>
      <c r="G63" s="5" t="s">
        <v>702</v>
      </c>
      <c r="H63" s="5" t="s">
        <v>783</v>
      </c>
      <c r="I63" s="8" t="s">
        <v>19</v>
      </c>
      <c r="J63" s="5"/>
      <c r="K63" s="5"/>
      <c r="L63" s="5"/>
      <c r="M63" s="5"/>
    </row>
    <row r="64" spans="1:13" ht="28.9">
      <c r="A64" s="49" t="s">
        <v>697</v>
      </c>
      <c r="B64" s="4" t="s">
        <v>784</v>
      </c>
      <c r="C64" s="5"/>
      <c r="D64" s="5"/>
      <c r="E64" s="5" t="s">
        <v>143</v>
      </c>
      <c r="F64" s="5" t="s">
        <v>704</v>
      </c>
      <c r="G64" s="5" t="s">
        <v>705</v>
      </c>
      <c r="H64" s="5" t="s">
        <v>785</v>
      </c>
      <c r="I64" s="8" t="s">
        <v>19</v>
      </c>
      <c r="J64" s="5"/>
      <c r="K64" s="5"/>
      <c r="L64" s="5"/>
      <c r="M64" s="5"/>
    </row>
    <row r="65" spans="1:13" ht="43.9" thickBot="1">
      <c r="A65" s="49" t="s">
        <v>697</v>
      </c>
      <c r="B65" s="23" t="s">
        <v>786</v>
      </c>
      <c r="C65" s="24"/>
      <c r="D65" s="24"/>
      <c r="E65" s="24" t="s">
        <v>144</v>
      </c>
      <c r="F65" s="24" t="s">
        <v>707</v>
      </c>
      <c r="G65" s="24" t="s">
        <v>787</v>
      </c>
      <c r="H65" s="24" t="s">
        <v>788</v>
      </c>
      <c r="I65" s="8" t="s">
        <v>19</v>
      </c>
      <c r="J65" s="24"/>
      <c r="K65" s="24"/>
      <c r="L65" s="24"/>
      <c r="M65" s="24"/>
    </row>
    <row r="66" spans="1:13" ht="144.6" thickBot="1">
      <c r="A66" s="49" t="s">
        <v>697</v>
      </c>
      <c r="B66" s="26" t="s">
        <v>789</v>
      </c>
      <c r="C66" s="27"/>
      <c r="D66" s="27"/>
      <c r="E66" s="27"/>
      <c r="F66" s="27"/>
      <c r="G66" s="28" t="s">
        <v>790</v>
      </c>
      <c r="H66" s="28" t="s">
        <v>791</v>
      </c>
      <c r="I66" s="27"/>
      <c r="J66" s="27"/>
      <c r="K66" s="27"/>
      <c r="L66" s="27"/>
      <c r="M66" s="29"/>
    </row>
    <row r="67" spans="1:13" ht="43.15">
      <c r="A67" s="49" t="s">
        <v>697</v>
      </c>
      <c r="B67" s="25"/>
      <c r="C67" s="25"/>
      <c r="D67" s="25"/>
      <c r="E67" s="25" t="s">
        <v>145</v>
      </c>
      <c r="F67" s="25" t="s">
        <v>792</v>
      </c>
      <c r="G67" s="25" t="s">
        <v>793</v>
      </c>
      <c r="H67" s="25" t="s">
        <v>794</v>
      </c>
      <c r="I67" s="8" t="s">
        <v>19</v>
      </c>
      <c r="J67" s="25"/>
      <c r="K67" s="25" t="s">
        <v>268</v>
      </c>
      <c r="L67" s="25"/>
      <c r="M67" s="25"/>
    </row>
    <row r="68" spans="1:13" ht="28.9">
      <c r="A68" s="49" t="s">
        <v>697</v>
      </c>
      <c r="B68" s="5"/>
      <c r="C68" s="5"/>
      <c r="D68" s="5"/>
      <c r="E68" s="5" t="s">
        <v>146</v>
      </c>
      <c r="F68" s="5" t="s">
        <v>795</v>
      </c>
      <c r="G68" s="5" t="s">
        <v>796</v>
      </c>
      <c r="H68" s="5" t="s">
        <v>797</v>
      </c>
      <c r="I68" s="8" t="s">
        <v>19</v>
      </c>
      <c r="J68" s="5"/>
      <c r="K68" s="5" t="s">
        <v>268</v>
      </c>
      <c r="L68" s="5"/>
      <c r="M68" s="5"/>
    </row>
    <row r="69" spans="1:13" ht="43.15">
      <c r="A69" s="49" t="s">
        <v>697</v>
      </c>
      <c r="B69" s="5"/>
      <c r="C69" s="5"/>
      <c r="D69" s="5"/>
      <c r="E69" s="5" t="s">
        <v>147</v>
      </c>
      <c r="F69" s="5" t="s">
        <v>798</v>
      </c>
      <c r="G69" s="5" t="s">
        <v>799</v>
      </c>
      <c r="H69" s="5" t="s">
        <v>800</v>
      </c>
      <c r="I69" s="8" t="s">
        <v>19</v>
      </c>
      <c r="J69" s="5"/>
      <c r="K69" s="5" t="s">
        <v>268</v>
      </c>
      <c r="L69" s="5"/>
      <c r="M69" s="5"/>
    </row>
    <row r="70" spans="1:13" ht="28.9">
      <c r="A70" s="49" t="s">
        <v>697</v>
      </c>
      <c r="B70" s="5"/>
      <c r="C70" s="5"/>
      <c r="D70" s="5"/>
      <c r="E70" s="5" t="s">
        <v>148</v>
      </c>
      <c r="F70" s="5" t="s">
        <v>801</v>
      </c>
      <c r="G70" s="5" t="s">
        <v>802</v>
      </c>
      <c r="H70" s="5" t="s">
        <v>803</v>
      </c>
      <c r="I70" s="8" t="s">
        <v>19</v>
      </c>
      <c r="J70" s="5"/>
      <c r="K70" s="5" t="s">
        <v>268</v>
      </c>
      <c r="L70" s="5"/>
      <c r="M70" s="5"/>
    </row>
    <row r="71" spans="1:13" ht="28.9">
      <c r="A71" s="49" t="s">
        <v>697</v>
      </c>
      <c r="B71" s="5"/>
      <c r="C71" s="5"/>
      <c r="D71" s="5"/>
      <c r="E71" s="5" t="s">
        <v>149</v>
      </c>
      <c r="F71" s="5" t="s">
        <v>804</v>
      </c>
      <c r="G71" s="5" t="s">
        <v>805</v>
      </c>
      <c r="H71" s="5" t="s">
        <v>806</v>
      </c>
      <c r="I71" s="8" t="s">
        <v>19</v>
      </c>
      <c r="J71" s="5"/>
      <c r="K71" s="5" t="s">
        <v>268</v>
      </c>
      <c r="L71" s="5"/>
      <c r="M71" s="5"/>
    </row>
    <row r="72" spans="1:13">
      <c r="A72" s="49" t="s">
        <v>697</v>
      </c>
      <c r="B72" s="5"/>
      <c r="C72" s="5"/>
      <c r="D72" s="5"/>
      <c r="E72" s="5" t="s">
        <v>150</v>
      </c>
      <c r="F72" s="5" t="s">
        <v>807</v>
      </c>
      <c r="G72" s="5" t="s">
        <v>808</v>
      </c>
      <c r="H72" s="5" t="s">
        <v>809</v>
      </c>
      <c r="I72" s="8" t="s">
        <v>19</v>
      </c>
      <c r="J72" s="5"/>
      <c r="K72" s="5" t="s">
        <v>268</v>
      </c>
      <c r="L72" s="5"/>
      <c r="M72" s="5"/>
    </row>
    <row r="73" spans="1:13" ht="28.9">
      <c r="A73" s="49" t="s">
        <v>697</v>
      </c>
      <c r="B73" s="5"/>
      <c r="C73" s="5"/>
      <c r="D73" s="5"/>
      <c r="E73" s="5" t="s">
        <v>151</v>
      </c>
      <c r="F73" s="5" t="s">
        <v>810</v>
      </c>
      <c r="G73" s="5" t="s">
        <v>811</v>
      </c>
      <c r="H73" s="5" t="s">
        <v>812</v>
      </c>
      <c r="I73" s="8" t="s">
        <v>19</v>
      </c>
      <c r="J73" s="5"/>
      <c r="K73" s="5" t="s">
        <v>268</v>
      </c>
      <c r="L73" s="5"/>
      <c r="M73" s="5"/>
    </row>
    <row r="74" spans="1:13" ht="28.9">
      <c r="A74" s="49" t="s">
        <v>697</v>
      </c>
      <c r="B74" s="5"/>
      <c r="C74" s="5"/>
      <c r="D74" s="5"/>
      <c r="E74" s="5" t="s">
        <v>158</v>
      </c>
      <c r="F74" s="5" t="s">
        <v>813</v>
      </c>
      <c r="G74" s="5" t="s">
        <v>814</v>
      </c>
      <c r="H74" s="5" t="s">
        <v>815</v>
      </c>
      <c r="I74" s="8" t="s">
        <v>19</v>
      </c>
      <c r="J74" s="5"/>
      <c r="K74" s="5" t="s">
        <v>268</v>
      </c>
      <c r="L74" s="5"/>
      <c r="M74" s="5"/>
    </row>
    <row r="75" spans="1:13">
      <c r="A75" s="49" t="s">
        <v>697</v>
      </c>
      <c r="B75" s="5"/>
      <c r="C75" s="5"/>
      <c r="D75" s="5"/>
      <c r="E75" s="5" t="s">
        <v>161</v>
      </c>
      <c r="F75" s="5" t="s">
        <v>816</v>
      </c>
      <c r="G75" s="5" t="s">
        <v>817</v>
      </c>
      <c r="H75" s="5" t="s">
        <v>818</v>
      </c>
      <c r="I75" s="8" t="s">
        <v>19</v>
      </c>
      <c r="J75" s="5"/>
      <c r="K75" s="5" t="s">
        <v>268</v>
      </c>
      <c r="L75" s="5"/>
      <c r="M75" s="5"/>
    </row>
    <row r="76" spans="1:13">
      <c r="A76" s="49" t="s">
        <v>697</v>
      </c>
      <c r="B76" s="5"/>
      <c r="C76" s="5"/>
      <c r="D76" s="5"/>
      <c r="E76" s="5" t="s">
        <v>164</v>
      </c>
      <c r="F76" s="5" t="s">
        <v>819</v>
      </c>
      <c r="G76" s="5" t="s">
        <v>820</v>
      </c>
      <c r="H76" s="5" t="s">
        <v>821</v>
      </c>
      <c r="I76" s="8" t="s">
        <v>19</v>
      </c>
      <c r="J76" s="5"/>
      <c r="K76" s="5" t="s">
        <v>268</v>
      </c>
      <c r="L76" s="5"/>
      <c r="M76" s="5"/>
    </row>
    <row r="77" spans="1:13" ht="28.9">
      <c r="A77" s="49" t="s">
        <v>697</v>
      </c>
      <c r="B77" s="5"/>
      <c r="C77" s="5"/>
      <c r="D77" s="5"/>
      <c r="E77" s="5" t="s">
        <v>167</v>
      </c>
      <c r="F77" s="5" t="s">
        <v>822</v>
      </c>
      <c r="G77" s="5" t="s">
        <v>823</v>
      </c>
      <c r="H77" s="5" t="s">
        <v>824</v>
      </c>
      <c r="I77" s="8" t="s">
        <v>19</v>
      </c>
      <c r="J77" s="5"/>
      <c r="K77" s="5" t="s">
        <v>268</v>
      </c>
      <c r="L77" s="5"/>
      <c r="M77" s="5"/>
    </row>
    <row r="78" spans="1:13">
      <c r="A78" s="49" t="s">
        <v>697</v>
      </c>
      <c r="B78" s="5"/>
      <c r="C78" s="5"/>
      <c r="D78" s="5"/>
      <c r="E78" s="5" t="s">
        <v>170</v>
      </c>
      <c r="F78" s="5" t="s">
        <v>825</v>
      </c>
      <c r="G78" s="5" t="s">
        <v>826</v>
      </c>
      <c r="H78" s="5" t="s">
        <v>827</v>
      </c>
      <c r="I78" s="8" t="s">
        <v>19</v>
      </c>
      <c r="J78" s="5"/>
      <c r="K78" s="5" t="s">
        <v>268</v>
      </c>
      <c r="L78" s="5"/>
      <c r="M78" s="5"/>
    </row>
    <row r="79" spans="1:13">
      <c r="A79" s="49" t="s">
        <v>697</v>
      </c>
      <c r="B79" s="5"/>
      <c r="C79" s="5"/>
      <c r="D79" s="5"/>
      <c r="E79" s="5" t="s">
        <v>173</v>
      </c>
      <c r="F79" s="5" t="s">
        <v>828</v>
      </c>
      <c r="G79" s="5" t="s">
        <v>829</v>
      </c>
      <c r="H79" s="5" t="s">
        <v>830</v>
      </c>
      <c r="I79" s="8" t="s">
        <v>19</v>
      </c>
      <c r="J79" s="5"/>
      <c r="K79" s="5" t="s">
        <v>268</v>
      </c>
      <c r="L79" s="5"/>
      <c r="M79" s="5"/>
    </row>
    <row r="80" spans="1:13" ht="28.9">
      <c r="A80" s="49" t="s">
        <v>697</v>
      </c>
      <c r="B80" s="5"/>
      <c r="C80" s="5"/>
      <c r="D80" s="5"/>
      <c r="E80" s="5" t="s">
        <v>175</v>
      </c>
      <c r="F80" s="5" t="s">
        <v>831</v>
      </c>
      <c r="G80" s="5" t="s">
        <v>832</v>
      </c>
      <c r="H80" s="5" t="s">
        <v>833</v>
      </c>
      <c r="I80" s="8" t="s">
        <v>19</v>
      </c>
      <c r="J80" s="5"/>
      <c r="K80" s="5" t="s">
        <v>268</v>
      </c>
      <c r="L80" s="5"/>
      <c r="M80" s="5"/>
    </row>
    <row r="81" spans="1:13" ht="43.15">
      <c r="A81" s="49" t="s">
        <v>697</v>
      </c>
      <c r="B81" s="5"/>
      <c r="C81" s="5"/>
      <c r="D81" s="5"/>
      <c r="E81" s="5" t="s">
        <v>177</v>
      </c>
      <c r="F81" s="5" t="s">
        <v>834</v>
      </c>
      <c r="G81" s="5" t="s">
        <v>835</v>
      </c>
      <c r="H81" s="5" t="s">
        <v>836</v>
      </c>
      <c r="I81" s="8" t="s">
        <v>19</v>
      </c>
      <c r="J81" s="5"/>
      <c r="K81" s="5" t="s">
        <v>268</v>
      </c>
      <c r="L81" s="5"/>
      <c r="M81" s="5"/>
    </row>
    <row r="82" spans="1:13" ht="28.9">
      <c r="A82" s="49" t="s">
        <v>697</v>
      </c>
      <c r="B82" s="5"/>
      <c r="C82" s="5"/>
      <c r="D82" s="5"/>
      <c r="E82" s="5" t="s">
        <v>179</v>
      </c>
      <c r="F82" s="5" t="s">
        <v>837</v>
      </c>
      <c r="G82" s="5" t="s">
        <v>838</v>
      </c>
      <c r="H82" s="5" t="s">
        <v>839</v>
      </c>
      <c r="I82" s="8" t="s">
        <v>19</v>
      </c>
      <c r="J82" s="5"/>
      <c r="K82" s="5" t="s">
        <v>268</v>
      </c>
      <c r="L82" s="5"/>
      <c r="M82" s="5"/>
    </row>
    <row r="83" spans="1:13">
      <c r="A83" s="49" t="s">
        <v>697</v>
      </c>
      <c r="B83" s="5"/>
      <c r="C83" s="5"/>
      <c r="D83" s="5"/>
      <c r="E83" s="5" t="s">
        <v>180</v>
      </c>
      <c r="F83" s="5" t="s">
        <v>840</v>
      </c>
      <c r="G83" s="5" t="s">
        <v>841</v>
      </c>
      <c r="H83" s="5" t="s">
        <v>842</v>
      </c>
      <c r="I83" s="8" t="s">
        <v>19</v>
      </c>
      <c r="J83" s="5"/>
      <c r="K83" s="5" t="s">
        <v>268</v>
      </c>
      <c r="L83" s="5"/>
      <c r="M83" s="5"/>
    </row>
    <row r="84" spans="1:13" ht="28.9">
      <c r="A84" s="49" t="s">
        <v>697</v>
      </c>
      <c r="B84" s="5"/>
      <c r="C84" s="5"/>
      <c r="D84" s="5"/>
      <c r="E84" s="5" t="s">
        <v>181</v>
      </c>
      <c r="F84" s="5" t="s">
        <v>843</v>
      </c>
      <c r="G84" s="5" t="s">
        <v>844</v>
      </c>
      <c r="H84" s="5" t="s">
        <v>845</v>
      </c>
      <c r="I84" s="8" t="s">
        <v>19</v>
      </c>
      <c r="J84" s="5"/>
      <c r="K84" s="5" t="s">
        <v>268</v>
      </c>
      <c r="L84" s="5"/>
      <c r="M84" s="5"/>
    </row>
    <row r="85" spans="1:13" ht="28.9">
      <c r="A85" s="49" t="s">
        <v>697</v>
      </c>
      <c r="B85" s="5"/>
      <c r="C85" s="5"/>
      <c r="D85" s="5"/>
      <c r="E85" s="5" t="s">
        <v>182</v>
      </c>
      <c r="F85" s="5" t="s">
        <v>846</v>
      </c>
      <c r="G85" s="5" t="s">
        <v>847</v>
      </c>
      <c r="H85" s="5" t="s">
        <v>848</v>
      </c>
      <c r="I85" s="8" t="s">
        <v>19</v>
      </c>
      <c r="J85" s="5"/>
      <c r="K85" s="5" t="s">
        <v>268</v>
      </c>
      <c r="L85" s="5"/>
      <c r="M85" s="5"/>
    </row>
    <row r="86" spans="1:13" ht="28.9">
      <c r="A86" s="49" t="s">
        <v>697</v>
      </c>
      <c r="B86" s="5"/>
      <c r="C86" s="5"/>
      <c r="D86" s="5"/>
      <c r="E86" s="5" t="s">
        <v>186</v>
      </c>
      <c r="F86" s="5" t="s">
        <v>760</v>
      </c>
      <c r="G86" s="5" t="s">
        <v>849</v>
      </c>
      <c r="H86" s="5" t="s">
        <v>850</v>
      </c>
      <c r="I86" s="8" t="s">
        <v>19</v>
      </c>
      <c r="J86" s="5"/>
      <c r="K86" s="5" t="s">
        <v>268</v>
      </c>
      <c r="L86" s="5"/>
      <c r="M86" s="5"/>
    </row>
    <row r="87" spans="1:13" ht="28.9">
      <c r="A87" s="49" t="s">
        <v>697</v>
      </c>
      <c r="B87" s="5"/>
      <c r="C87" s="5"/>
      <c r="D87" s="5"/>
      <c r="E87" s="5" t="s">
        <v>188</v>
      </c>
      <c r="F87" s="5" t="s">
        <v>851</v>
      </c>
      <c r="G87" s="5" t="s">
        <v>852</v>
      </c>
      <c r="H87" s="5" t="s">
        <v>853</v>
      </c>
      <c r="I87" s="8" t="s">
        <v>19</v>
      </c>
      <c r="J87" s="5"/>
      <c r="K87" s="5" t="s">
        <v>268</v>
      </c>
      <c r="L87" s="5"/>
      <c r="M87" s="5"/>
    </row>
    <row r="88" spans="1:13" ht="28.9">
      <c r="A88" s="49" t="s">
        <v>697</v>
      </c>
      <c r="B88" s="5"/>
      <c r="C88" s="5"/>
      <c r="D88" s="5"/>
      <c r="E88" s="5" t="s">
        <v>191</v>
      </c>
      <c r="F88" s="5" t="s">
        <v>854</v>
      </c>
      <c r="G88" s="5" t="s">
        <v>855</v>
      </c>
      <c r="H88" s="5" t="s">
        <v>856</v>
      </c>
      <c r="I88" s="8" t="s">
        <v>19</v>
      </c>
      <c r="J88" s="5"/>
      <c r="K88" s="5" t="s">
        <v>268</v>
      </c>
      <c r="L88" s="5"/>
      <c r="M88" s="5"/>
    </row>
    <row r="89" spans="1:13">
      <c r="A89" s="49" t="s">
        <v>857</v>
      </c>
      <c r="B89" s="4" t="s">
        <v>857</v>
      </c>
      <c r="C89" s="4"/>
      <c r="D89" s="4"/>
      <c r="E89" s="4"/>
      <c r="F89" s="4"/>
      <c r="G89" s="20"/>
      <c r="H89" s="20"/>
      <c r="I89" s="4"/>
      <c r="J89" s="4"/>
      <c r="K89" s="4"/>
      <c r="L89" s="4"/>
      <c r="M89" s="4"/>
    </row>
    <row r="90" spans="1:13" ht="28.9">
      <c r="A90" s="49" t="s">
        <v>857</v>
      </c>
      <c r="B90" s="5"/>
      <c r="C90" s="5"/>
      <c r="D90" s="5"/>
      <c r="E90" s="5" t="s">
        <v>193</v>
      </c>
      <c r="F90" s="5" t="s">
        <v>621</v>
      </c>
      <c r="G90" s="5" t="s">
        <v>858</v>
      </c>
      <c r="H90" s="5" t="s">
        <v>859</v>
      </c>
      <c r="I90" s="8" t="s">
        <v>19</v>
      </c>
      <c r="J90" s="5"/>
      <c r="K90" s="5"/>
      <c r="L90" s="5"/>
      <c r="M90" s="5"/>
    </row>
    <row r="91" spans="1:13" ht="28.9">
      <c r="A91" s="49" t="s">
        <v>857</v>
      </c>
      <c r="B91" s="5"/>
      <c r="C91" s="5"/>
      <c r="D91" s="5"/>
      <c r="E91" s="5" t="s">
        <v>195</v>
      </c>
      <c r="F91" s="5" t="s">
        <v>621</v>
      </c>
      <c r="G91" s="5" t="s">
        <v>860</v>
      </c>
      <c r="H91" s="5" t="s">
        <v>861</v>
      </c>
      <c r="I91" s="8" t="s">
        <v>19</v>
      </c>
      <c r="J91" s="5"/>
      <c r="K91" s="5"/>
      <c r="L91" s="5"/>
      <c r="M91" s="5"/>
    </row>
    <row r="92" spans="1:13" ht="28.9">
      <c r="A92" s="49" t="s">
        <v>857</v>
      </c>
      <c r="B92" s="5"/>
      <c r="C92" s="5"/>
      <c r="D92" s="5"/>
      <c r="E92" s="5" t="s">
        <v>197</v>
      </c>
      <c r="F92" s="5" t="s">
        <v>862</v>
      </c>
      <c r="G92" s="5" t="s">
        <v>863</v>
      </c>
      <c r="H92" s="5" t="s">
        <v>864</v>
      </c>
      <c r="I92" s="8" t="s">
        <v>19</v>
      </c>
      <c r="J92" s="5"/>
      <c r="K92" s="5"/>
      <c r="L92" s="5"/>
      <c r="M92" s="5"/>
    </row>
    <row r="93" spans="1:13">
      <c r="A93" s="49" t="s">
        <v>865</v>
      </c>
      <c r="B93" s="4" t="s">
        <v>865</v>
      </c>
      <c r="C93" s="4"/>
      <c r="D93" s="4"/>
      <c r="E93" s="4"/>
      <c r="F93" s="14"/>
      <c r="G93" s="4"/>
      <c r="H93" s="4"/>
      <c r="I93" s="4"/>
      <c r="J93" s="4"/>
      <c r="K93" s="12"/>
      <c r="L93" s="12"/>
    </row>
    <row r="94" spans="1:13" ht="28.9">
      <c r="A94" s="49" t="s">
        <v>865</v>
      </c>
      <c r="B94" s="1"/>
      <c r="C94" s="1"/>
      <c r="D94" s="1"/>
      <c r="E94" s="5" t="s">
        <v>119</v>
      </c>
      <c r="F94" s="5" t="s">
        <v>866</v>
      </c>
      <c r="G94" s="5" t="s">
        <v>867</v>
      </c>
      <c r="H94" s="8" t="s">
        <v>19</v>
      </c>
      <c r="I94" s="1"/>
      <c r="J94" s="5"/>
      <c r="K94" s="1"/>
      <c r="L94" s="1"/>
    </row>
    <row r="95" spans="1:13" ht="28.9">
      <c r="A95" s="49" t="s">
        <v>865</v>
      </c>
      <c r="B95" s="1"/>
      <c r="C95" s="1"/>
      <c r="D95" s="1"/>
      <c r="E95" s="5" t="s">
        <v>120</v>
      </c>
      <c r="F95" s="5" t="s">
        <v>868</v>
      </c>
      <c r="G95" s="5" t="s">
        <v>869</v>
      </c>
      <c r="H95" s="8" t="s">
        <v>19</v>
      </c>
      <c r="I95" s="1"/>
      <c r="J95" s="5"/>
      <c r="K95" s="1"/>
      <c r="L95" s="1"/>
    </row>
    <row r="96" spans="1:13" ht="43.15">
      <c r="A96" s="49" t="s">
        <v>865</v>
      </c>
      <c r="B96" s="1"/>
      <c r="C96" s="1"/>
      <c r="D96" s="1"/>
      <c r="E96" s="5" t="s">
        <v>121</v>
      </c>
      <c r="F96" s="5" t="s">
        <v>870</v>
      </c>
      <c r="G96" s="5" t="s">
        <v>871</v>
      </c>
      <c r="H96" s="8" t="s">
        <v>19</v>
      </c>
      <c r="I96" s="1"/>
      <c r="J96" s="5"/>
      <c r="K96" s="1"/>
      <c r="L96" s="1"/>
    </row>
  </sheetData>
  <phoneticPr fontId="1" type="noConversion"/>
  <conditionalFormatting sqref="H94:H96">
    <cfRule type="cellIs" dxfId="9" priority="1" stopIfTrue="1" operator="equal">
      <formula>"Deferred"</formula>
    </cfRule>
    <cfRule type="cellIs" dxfId="8" priority="2" operator="equal">
      <formula>"Not Applicable"</formula>
    </cfRule>
    <cfRule type="cellIs" dxfId="7" priority="3" operator="equal">
      <formula>"Pass"</formula>
    </cfRule>
    <cfRule type="cellIs" dxfId="6" priority="4" operator="equal">
      <formula>"Fail"</formula>
    </cfRule>
    <cfRule type="cellIs" dxfId="5" priority="5" operator="equal">
      <formula>"In progress"</formula>
    </cfRule>
  </conditionalFormatting>
  <conditionalFormatting sqref="I1:I9 I11:I17 I19:I26 I28:I34 I36 I38:I40 I42:I47 I49:I65 I67:I88 I90:I92">
    <cfRule type="cellIs" dxfId="4" priority="6" stopIfTrue="1" operator="equal">
      <formula>"Deferred"</formula>
    </cfRule>
    <cfRule type="cellIs" dxfId="3" priority="7" operator="equal">
      <formula>"Not Applicable"</formula>
    </cfRule>
    <cfRule type="cellIs" dxfId="2" priority="8" operator="equal">
      <formula>"Pass"</formula>
    </cfRule>
    <cfRule type="cellIs" dxfId="1" priority="9" operator="equal">
      <formula>"Fail"</formula>
    </cfRule>
    <cfRule type="cellIs" dxfId="0" priority="10" operator="equal">
      <formula>"In progress"</formula>
    </cfRule>
  </conditionalFormatting>
  <dataValidations disablePrompts="1" count="2">
    <dataValidation type="list" allowBlank="1" showInputMessage="1" showErrorMessage="1" sqref="I3:I9 I11:I17 I19:I26 I28:I34 I36 I38:I40 I42:I47 I49:I92 H94:H96" xr:uid="{4AA66F66-9A4A-4AAD-B7D2-9E8ADE7AEA15}">
      <formula1>"Pass,Fail,Deferred,Not Valid,Not Applicable,In Progress,No Run"</formula1>
    </dataValidation>
    <dataValidation type="list" allowBlank="1" showInputMessage="1" showErrorMessage="1" sqref="K3 K28:K34 K11:K17 K19:K26 K36:K63 K66:K92" xr:uid="{92E3A230-5C68-49F6-B3F1-1E76A9565C63}">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C695A6-6029-4504-9C7A-E3D5F9A8DF88}">
          <x14:formula1>
            <xm:f>'Case install'!$B$1048553:$B$1048576</xm:f>
          </x14:formula1>
          <xm:sqref>J94:J96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61AF-172B-4652-A6F5-CC236A42B1D3}">
  <dimension ref="B3:O14"/>
  <sheetViews>
    <sheetView showGridLines="0" workbookViewId="0">
      <selection activeCell="C5" sqref="C5"/>
    </sheetView>
  </sheetViews>
  <sheetFormatPr defaultColWidth="10.28515625" defaultRowHeight="14.45"/>
  <cols>
    <col min="2" max="2" width="18.28515625" bestFit="1" customWidth="1"/>
    <col min="3" max="3" width="7.28515625" bestFit="1" customWidth="1"/>
    <col min="4" max="4" width="5.7109375" bestFit="1" customWidth="1"/>
    <col min="5" max="5" width="11.85546875" bestFit="1" customWidth="1"/>
    <col min="6" max="6" width="19.7109375" bestFit="1" customWidth="1"/>
    <col min="7" max="7" width="15.28515625" bestFit="1" customWidth="1"/>
    <col min="8" max="8" width="10.5703125" bestFit="1" customWidth="1"/>
    <col min="9" max="9" width="7.5703125" bestFit="1" customWidth="1"/>
    <col min="10" max="10" width="15.42578125" bestFit="1" customWidth="1"/>
    <col min="11" max="11" width="12.85546875" bestFit="1" customWidth="1"/>
    <col min="12" max="12" width="13.5703125" bestFit="1" customWidth="1"/>
    <col min="13" max="13" width="15.5703125" bestFit="1" customWidth="1"/>
    <col min="14" max="14" width="21.140625" bestFit="1" customWidth="1"/>
  </cols>
  <sheetData>
    <row r="3" spans="2:15" ht="15" thickBot="1"/>
    <row r="4" spans="2:15" ht="34.9">
      <c r="B4" s="35"/>
      <c r="C4" s="32" t="s">
        <v>263</v>
      </c>
      <c r="D4" s="32" t="s">
        <v>264</v>
      </c>
      <c r="E4" s="32" t="s">
        <v>265</v>
      </c>
      <c r="F4" s="32" t="s">
        <v>266</v>
      </c>
      <c r="G4" s="32" t="s">
        <v>267</v>
      </c>
      <c r="H4" s="32" t="s">
        <v>19</v>
      </c>
      <c r="I4" s="32" t="s">
        <v>872</v>
      </c>
      <c r="J4" s="33" t="s">
        <v>873</v>
      </c>
      <c r="K4" s="33" t="s">
        <v>874</v>
      </c>
      <c r="L4" s="33" t="s">
        <v>875</v>
      </c>
      <c r="M4" s="33" t="s">
        <v>876</v>
      </c>
      <c r="N4" s="34" t="s">
        <v>877</v>
      </c>
    </row>
    <row r="5" spans="2:15" ht="18">
      <c r="B5" s="44" t="s">
        <v>878</v>
      </c>
      <c r="C5" s="36">
        <f>COUNTIF('Case install'!$H$2:$H$147,Metrics!C4)</f>
        <v>0</v>
      </c>
      <c r="D5" s="36">
        <f>COUNTIF('Case install'!$H$2:$H$147,Metrics!D4)</f>
        <v>0</v>
      </c>
      <c r="E5" s="36">
        <f>COUNTIF('Case install'!$H$2:$H$147,Metrics!E4)</f>
        <v>0</v>
      </c>
      <c r="F5" s="36">
        <f>COUNTIF('Case install'!$H$2:$H$147,Metrics!F4)</f>
        <v>0</v>
      </c>
      <c r="G5" s="36">
        <f>COUNTIF('Case install'!$H$2:$H$147,Metrics!G4)</f>
        <v>0</v>
      </c>
      <c r="H5" s="36">
        <f>COUNTIF('Case install'!$H$2:$H$147,Metrics!H4)</f>
        <v>129</v>
      </c>
      <c r="I5" s="31">
        <f>SUM(C5:G5)</f>
        <v>0</v>
      </c>
      <c r="J5" s="37" t="str">
        <f>IF((I5-E5-F5),SUM(C5:D5)/(I5-E5-F5),"0.0")</f>
        <v>0.0</v>
      </c>
      <c r="K5" s="37" t="str">
        <f>IF((C5&gt;0),(C5)/(I5-E5-F5),"0.0")</f>
        <v>0.0</v>
      </c>
      <c r="L5" s="38"/>
      <c r="M5" s="39"/>
      <c r="N5" s="40"/>
    </row>
    <row r="6" spans="2:15" ht="18">
      <c r="B6" s="44" t="s">
        <v>879</v>
      </c>
      <c r="C6" s="36">
        <f>COUNTIF(Fulfillment!$H$2:$H$106,Metrics!C4)</f>
        <v>0</v>
      </c>
      <c r="D6" s="36">
        <f>COUNTIF(Fulfillment!$H$2:$H$106,Metrics!D4)</f>
        <v>0</v>
      </c>
      <c r="E6" s="36">
        <f>COUNTIF(Fulfillment!$H$2:$H$106,Metrics!E4)</f>
        <v>0</v>
      </c>
      <c r="F6" s="36">
        <f>COUNTIF(Fulfillment!$H$2:$H$106,Metrics!F4)</f>
        <v>0</v>
      </c>
      <c r="G6" s="36">
        <f>COUNTIF(Fulfillment!$H$2:$H$106,Metrics!G4)</f>
        <v>0</v>
      </c>
      <c r="H6" s="36">
        <f>COUNTIF(Fulfillment!$H$2:$H$106,Metrics!H4)</f>
        <v>38</v>
      </c>
      <c r="I6" s="31">
        <f t="shared" ref="I6:I12" si="0">SUM(C6:G6)</f>
        <v>0</v>
      </c>
      <c r="J6" s="37" t="str">
        <f t="shared" ref="J6:J11" si="1">IF((I6-E6-F6),SUM(C6:D6)/(I6-E6-F6),"0.0")</f>
        <v>0.0</v>
      </c>
      <c r="K6" s="37" t="str">
        <f t="shared" ref="K6:K13" si="2">IF((C6&gt;0),(C6)/(I6-E6-F6),"0.0")</f>
        <v>0.0</v>
      </c>
      <c r="L6" s="38"/>
      <c r="M6" s="39"/>
      <c r="N6" s="41"/>
    </row>
    <row r="7" spans="2:15" ht="18">
      <c r="B7" s="44" t="s">
        <v>880</v>
      </c>
      <c r="C7" s="36">
        <f>COUNTIF('Extracts(NF)'!$H2:$H110,Metrics!C4)</f>
        <v>0</v>
      </c>
      <c r="D7" s="36">
        <f>COUNTIF('Extracts(NF)'!$H2:$H110,Metrics!D4)</f>
        <v>0</v>
      </c>
      <c r="E7" s="36">
        <f>COUNTIF('Extracts(NF)'!$H2:$H110,Metrics!E4)</f>
        <v>0</v>
      </c>
      <c r="F7" s="36">
        <f>COUNTIF('Extracts(NF)'!$H2:$H110,Metrics!F4)</f>
        <v>0</v>
      </c>
      <c r="G7" s="36">
        <f>COUNTIF('Extracts(NF)'!$H2:$H110,Metrics!G4)</f>
        <v>0</v>
      </c>
      <c r="H7" s="36">
        <f>COUNTIF('Extracts(NF)'!$H2:$H110,Metrics!H4)</f>
        <v>22</v>
      </c>
      <c r="I7" s="31">
        <f t="shared" si="0"/>
        <v>0</v>
      </c>
      <c r="J7" s="37" t="str">
        <f t="shared" si="1"/>
        <v>0.0</v>
      </c>
      <c r="K7" s="37" t="str">
        <f t="shared" si="2"/>
        <v>0.0</v>
      </c>
      <c r="L7" s="38"/>
      <c r="M7" s="39"/>
      <c r="N7" s="41"/>
    </row>
    <row r="8" spans="2:15" ht="18">
      <c r="B8" s="44" t="s">
        <v>881</v>
      </c>
      <c r="C8" s="36">
        <f>COUNTIF(Maintenance!$H$2:$H$110,Metrics!C4)</f>
        <v>0</v>
      </c>
      <c r="D8" s="36">
        <f>COUNTIF(Maintenance!$H2:$H110,Metrics!D4)</f>
        <v>0</v>
      </c>
      <c r="E8" s="36">
        <f>COUNTIF(Maintenance!$H2:$H110,Metrics!E4)</f>
        <v>0</v>
      </c>
      <c r="F8" s="36">
        <f>COUNTIF(Maintenance!$H2:$H110,Metrics!F4)</f>
        <v>0</v>
      </c>
      <c r="G8" s="36">
        <f>COUNTIF(Maintenance!$H2:$H110,Metrics!G4)</f>
        <v>0</v>
      </c>
      <c r="H8" s="36">
        <f>COUNTIF(Maintenance!$H2:$H110,Metrics!H4)</f>
        <v>28</v>
      </c>
      <c r="I8" s="31">
        <f t="shared" si="0"/>
        <v>0</v>
      </c>
      <c r="J8" s="37" t="str">
        <f t="shared" si="1"/>
        <v>0.0</v>
      </c>
      <c r="K8" s="37" t="str">
        <f t="shared" si="2"/>
        <v>0.0</v>
      </c>
      <c r="L8" s="38"/>
      <c r="M8" s="39"/>
      <c r="N8" s="41"/>
    </row>
    <row r="9" spans="2:15" ht="18">
      <c r="B9" s="44" t="s">
        <v>882</v>
      </c>
      <c r="C9" s="36">
        <f>COUNTIF('Bill&amp;Comm'!$H2:$H110,Metrics!C4)</f>
        <v>0</v>
      </c>
      <c r="D9" s="36">
        <f>COUNTIF('Bill&amp;Comm'!$H2:$H110,Metrics!D4)</f>
        <v>0</v>
      </c>
      <c r="E9" s="36">
        <f>COUNTIF('Bill&amp;Comm'!$H2:$H110,Metrics!E4)</f>
        <v>0</v>
      </c>
      <c r="F9" s="36">
        <f>COUNTIF('Bill&amp;Comm'!$H2:$H110,Metrics!F4)</f>
        <v>0</v>
      </c>
      <c r="G9" s="36">
        <f>COUNTIF('Bill&amp;Comm'!$H2:$H110,Metrics!G4)</f>
        <v>0</v>
      </c>
      <c r="H9" s="36">
        <f>COUNTIF('Bill&amp;Comm'!$H2:$H110,Metrics!H4)</f>
        <v>13</v>
      </c>
      <c r="I9" s="31">
        <f t="shared" si="0"/>
        <v>0</v>
      </c>
      <c r="J9" s="37" t="str">
        <f t="shared" si="1"/>
        <v>0.0</v>
      </c>
      <c r="K9" s="37" t="str">
        <f t="shared" si="2"/>
        <v>0.0</v>
      </c>
      <c r="L9" s="38"/>
      <c r="M9" s="39"/>
      <c r="N9" s="41"/>
    </row>
    <row r="10" spans="2:15" ht="18">
      <c r="B10" s="44" t="s">
        <v>883</v>
      </c>
      <c r="C10" s="36">
        <f>COUNTIF(ClmsClin!$I$2:$I$110,Metrics!C4)</f>
        <v>0</v>
      </c>
      <c r="D10" s="36">
        <f>COUNTIF(ClmsClin!$I2:$I110,Metrics!D4)</f>
        <v>0</v>
      </c>
      <c r="E10" s="36">
        <f>COUNTIF(ClmsClin!$I2:$I110,Metrics!E4)</f>
        <v>0</v>
      </c>
      <c r="F10" s="36">
        <f>COUNTIF(ClmsClin!$I2:$I110,Metrics!F4)</f>
        <v>0</v>
      </c>
      <c r="G10" s="36">
        <f>COUNTIF(ClmsClin!$I2:$I110,Metrics!G4)</f>
        <v>0</v>
      </c>
      <c r="H10" s="36">
        <f>COUNTIF(ClmsClin!$I2:$I110,Metrics!H4)</f>
        <v>18</v>
      </c>
      <c r="I10" s="31">
        <f t="shared" si="0"/>
        <v>0</v>
      </c>
      <c r="J10" s="37" t="str">
        <f t="shared" si="1"/>
        <v>0.0</v>
      </c>
      <c r="K10" s="37" t="str">
        <f t="shared" si="2"/>
        <v>0.0</v>
      </c>
      <c r="L10" s="38"/>
      <c r="M10" s="39"/>
      <c r="N10" s="41"/>
    </row>
    <row r="11" spans="2:15" ht="18">
      <c r="B11" s="44" t="s">
        <v>884</v>
      </c>
      <c r="C11" s="36">
        <f>COUNTIF(Digital!$I$2:$I$110,Metrics!C4)</f>
        <v>0</v>
      </c>
      <c r="D11" s="36">
        <f>COUNTIF(Digital!$I2:$I110,Metrics!D4)</f>
        <v>0</v>
      </c>
      <c r="E11" s="36">
        <f>COUNTIF(Digital!$I2:$I110,Metrics!E4)</f>
        <v>0</v>
      </c>
      <c r="F11" s="36">
        <f>COUNTIF(Digital!$I2:$I110,Metrics!F4)</f>
        <v>0</v>
      </c>
      <c r="G11" s="36">
        <f>COUNTIF(Digital!$I2:$I110,Metrics!G4)</f>
        <v>0</v>
      </c>
      <c r="H11" s="36">
        <f>COUNTIF(Digital!$I2:$I110,Metrics!H4)</f>
        <v>81</v>
      </c>
      <c r="I11" s="31">
        <f t="shared" si="0"/>
        <v>0</v>
      </c>
      <c r="J11" s="37" t="str">
        <f t="shared" si="1"/>
        <v>0.0</v>
      </c>
      <c r="K11" s="37" t="str">
        <f t="shared" si="2"/>
        <v>0.0</v>
      </c>
      <c r="L11" s="38"/>
      <c r="M11" s="39"/>
      <c r="N11" s="41"/>
    </row>
    <row r="12" spans="2:15" ht="18">
      <c r="B12" s="44" t="s">
        <v>553</v>
      </c>
      <c r="C12" s="36">
        <f>COUNTIF('PCP Assignment'!$H$3:$H$110,Metrics!C4)</f>
        <v>0</v>
      </c>
      <c r="D12" s="36">
        <f>COUNTIF('PCP Assignment'!$H$3:$H$110,Metrics!D4)</f>
        <v>0</v>
      </c>
      <c r="E12" s="36">
        <f>COUNTIF('PCP Assignment'!$H$3:$H$110,Metrics!E4)</f>
        <v>0</v>
      </c>
      <c r="F12" s="36">
        <f>COUNTIF('PCP Assignment'!$H$3:$H$110,Metrics!F4)</f>
        <v>0</v>
      </c>
      <c r="G12" s="36">
        <f>COUNTIF('PCP Assignment'!$H$3:$H$110,Metrics!G4)</f>
        <v>0</v>
      </c>
      <c r="H12" s="36">
        <f>COUNTIF('PCP Assignment'!$H$3:$H$110,Metrics!H4)</f>
        <v>21</v>
      </c>
      <c r="I12" s="31">
        <f t="shared" si="0"/>
        <v>0</v>
      </c>
      <c r="J12" s="37" t="str">
        <f t="shared" ref="J12" si="3">IF((I12-E12-F12),SUM(C12:D12)/(I12-E12-F12),"0.0")</f>
        <v>0.0</v>
      </c>
      <c r="K12" s="37" t="str">
        <f t="shared" ref="K12" si="4">IF((C12&gt;0),(C12)/(I12-E12-F12),"0.0")</f>
        <v>0.0</v>
      </c>
      <c r="L12" s="38"/>
      <c r="M12" s="42"/>
      <c r="N12" s="41"/>
    </row>
    <row r="13" spans="2:15" ht="18.600000000000001" thickBot="1">
      <c r="B13" s="45"/>
      <c r="C13" s="46">
        <f>SUM(C5:C12)</f>
        <v>0</v>
      </c>
      <c r="D13" s="46">
        <f t="shared" ref="D13:I13" si="5">SUM(D5:D12)</f>
        <v>0</v>
      </c>
      <c r="E13" s="46">
        <f t="shared" si="5"/>
        <v>0</v>
      </c>
      <c r="F13" s="46">
        <f t="shared" si="5"/>
        <v>0</v>
      </c>
      <c r="G13" s="46">
        <f t="shared" si="5"/>
        <v>0</v>
      </c>
      <c r="H13" s="46">
        <f t="shared" si="5"/>
        <v>350</v>
      </c>
      <c r="I13" s="46">
        <f t="shared" si="5"/>
        <v>0</v>
      </c>
      <c r="J13" s="43" t="str">
        <f t="shared" ref="J13" si="6">IF((I13-H13&gt;0),SUM(E13:G13)/(I13-H13),"0.0%")</f>
        <v>0.0%</v>
      </c>
      <c r="K13" s="43" t="str">
        <f t="shared" si="2"/>
        <v>0.0</v>
      </c>
      <c r="L13" s="47"/>
      <c r="M13" s="47"/>
      <c r="N13" s="48"/>
    </row>
    <row r="14" spans="2:15">
      <c r="O14" s="3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F682-6EEA-4D7E-837A-6184650F6296}">
  <dimension ref="A1:C16"/>
  <sheetViews>
    <sheetView workbookViewId="0"/>
  </sheetViews>
  <sheetFormatPr defaultColWidth="42.7109375" defaultRowHeight="14.45"/>
  <cols>
    <col min="1" max="1" width="8.7109375" bestFit="1" customWidth="1"/>
  </cols>
  <sheetData>
    <row r="1" spans="1:3">
      <c r="A1" s="2" t="s">
        <v>885</v>
      </c>
      <c r="B1" s="2" t="s">
        <v>886</v>
      </c>
      <c r="C1" s="2" t="s">
        <v>887</v>
      </c>
    </row>
    <row r="2" spans="1:3">
      <c r="A2" s="16"/>
      <c r="B2" s="1"/>
      <c r="C2" s="1"/>
    </row>
    <row r="3" spans="1:3">
      <c r="A3" s="1"/>
      <c r="B3" s="1"/>
      <c r="C3" s="1"/>
    </row>
    <row r="4" spans="1:3">
      <c r="A4" s="1"/>
      <c r="B4" s="1"/>
      <c r="C4" s="1"/>
    </row>
    <row r="5" spans="1:3">
      <c r="A5" s="16"/>
      <c r="B5" s="16"/>
      <c r="C5" s="1"/>
    </row>
    <row r="6" spans="1:3">
      <c r="A6" s="16"/>
      <c r="B6" s="1"/>
      <c r="C6" s="1"/>
    </row>
    <row r="7" spans="1:3">
      <c r="A7" s="16"/>
      <c r="B7" s="16"/>
      <c r="C7" s="1"/>
    </row>
    <row r="8" spans="1:3">
      <c r="A8" s="1"/>
      <c r="B8" s="1"/>
      <c r="C8" s="1"/>
    </row>
    <row r="9" spans="1:3">
      <c r="A9" s="1"/>
      <c r="B9" s="1"/>
      <c r="C9" s="1"/>
    </row>
    <row r="10" spans="1:3">
      <c r="A10" s="1"/>
      <c r="B10" s="1"/>
      <c r="C10" s="1"/>
    </row>
    <row r="11" spans="1:3">
      <c r="A11" s="1"/>
      <c r="B11" s="1"/>
      <c r="C11" s="1"/>
    </row>
    <row r="12" spans="1:3">
      <c r="A12" s="1"/>
      <c r="B12" s="1"/>
      <c r="C12" s="1"/>
    </row>
    <row r="13" spans="1:3">
      <c r="A13" s="1"/>
      <c r="B13" s="1"/>
      <c r="C13" s="1"/>
    </row>
    <row r="14" spans="1:3">
      <c r="A14" s="1"/>
      <c r="B14" s="1"/>
      <c r="C14" s="1"/>
    </row>
    <row r="15" spans="1:3">
      <c r="A15" s="59"/>
      <c r="B15" s="1"/>
      <c r="C15" s="1"/>
    </row>
    <row r="16" spans="1:3">
      <c r="A16" s="1"/>
      <c r="B16" s="1"/>
      <c r="C16"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00df39f-0eec-40ca-82bd-c2cbf1bc12b1">
      <Terms xmlns="http://schemas.microsoft.com/office/infopath/2007/PartnerControls"/>
    </lcf76f155ced4ddcb4097134ff3c332f>
    <TaxCatchAll xmlns="d278d26c-7aa8-4fcf-91d0-8e41b295669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0E9FF10B28DA2428B7C9C2C3D8AE93D" ma:contentTypeVersion="14" ma:contentTypeDescription="Create a new document." ma:contentTypeScope="" ma:versionID="57b9e0593a630f23e23fa99c3015123c">
  <xsd:schema xmlns:xsd="http://www.w3.org/2001/XMLSchema" xmlns:xs="http://www.w3.org/2001/XMLSchema" xmlns:p="http://schemas.microsoft.com/office/2006/metadata/properties" xmlns:ns2="100df39f-0eec-40ca-82bd-c2cbf1bc12b1" xmlns:ns3="d278d26c-7aa8-4fcf-91d0-8e41b295669b" targetNamespace="http://schemas.microsoft.com/office/2006/metadata/properties" ma:root="true" ma:fieldsID="6b134b85c58113393d82838be026a408" ns2:_="" ns3:_="">
    <xsd:import namespace="100df39f-0eec-40ca-82bd-c2cbf1bc12b1"/>
    <xsd:import namespace="d278d26c-7aa8-4fcf-91d0-8e41b29566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0df39f-0eec-40ca-82bd-c2cbf1bc12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78d26c-7aa8-4fcf-91d0-8e41b29566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02990cc7-cb4b-4092-be4d-e027f77e4b62}" ma:internalName="TaxCatchAll" ma:showField="CatchAllData" ma:web="d278d26c-7aa8-4fcf-91d0-8e41b29566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62DA0A-8DC5-4F0B-8164-9721D7CEB70E}"/>
</file>

<file path=customXml/itemProps2.xml><?xml version="1.0" encoding="utf-8"?>
<ds:datastoreItem xmlns:ds="http://schemas.openxmlformats.org/officeDocument/2006/customXml" ds:itemID="{5893A5CA-2C35-4E6A-9033-C3FC06A7B75C}"/>
</file>

<file path=customXml/itemProps3.xml><?xml version="1.0" encoding="utf-8"?>
<ds:datastoreItem xmlns:ds="http://schemas.openxmlformats.org/officeDocument/2006/customXml" ds:itemID="{E80EBAC4-9601-432A-A939-C517F996F5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2025-10-07T06:34:43Z</dcterms:created>
  <dcterms:modified xsi:type="dcterms:W3CDTF">2026-02-09T15:43:40Z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0x010100F0E9FF10B28DA2428B7C9C2C3D8AE93D</vt:lpwstr>
  </property>
  <property fmtid="{D5CDD505-2E9C-101B-9397-08002B2CF9AE}" pid="3" name="MediaServiceImageTags">
    <vt:lpwstr/>
  </property>
</Properties>
</file>