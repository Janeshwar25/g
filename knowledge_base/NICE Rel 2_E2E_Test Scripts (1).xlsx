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uhgazure.sharepoint.com/teams/NavigateNowQuality-NavigateNowE2ETesting/Shared Documents/CMP_PET/CMP 2026 Releases/NICE Release 2/"/>
    </mc:Choice>
  </mc:AlternateContent>
  <xr:revisionPtr revIDLastSave="2759" documentId="14_{19C6DD70-F601-41B9-86BF-96D3AC5D19F1}" xr6:coauthVersionLast="47" xr6:coauthVersionMax="47" xr10:uidLastSave="{51F7BB42-C3D8-4D06-B553-416105DD871E}"/>
  <bookViews>
    <workbookView xWindow="-110" yWindow="-110" windowWidth="19420" windowHeight="11500" firstSheet="12" activeTab="15" xr2:uid="{00000000-000D-0000-FFFF-FFFF00000000}"/>
  </bookViews>
  <sheets>
    <sheet name="Capabilities" sheetId="11" r:id="rId1"/>
    <sheet name="Case Install" sheetId="19" r:id="rId2"/>
    <sheet name="Fulfillment" sheetId="29" r:id="rId3"/>
    <sheet name="Downstream Extract" sheetId="37" r:id="rId4"/>
    <sheet name="Bill&amp;Comm" sheetId="24" r:id="rId5"/>
    <sheet name="Maint" sheetId="27" r:id="rId6"/>
    <sheet name="DE" sheetId="25" r:id="rId7"/>
    <sheet name="ClmsClin" sheetId="23" r:id="rId8"/>
    <sheet name="PCP Assignment" sheetId="30" r:id="rId9"/>
    <sheet name="Rating Population" sheetId="31" r:id="rId10"/>
    <sheet name="Carve out" sheetId="32" r:id="rId11"/>
    <sheet name="Metrics" sheetId="16" r:id="rId12"/>
    <sheet name="Cal Choice" sheetId="36" r:id="rId13"/>
    <sheet name="Integrated Administration" sheetId="34" r:id="rId14"/>
    <sheet name="Reporting" sheetId="26" r:id="rId15"/>
    <sheet name="Defects" sheetId="28" r:id="rId16"/>
    <sheet name="Project Details" sheetId="38" r:id="rId17"/>
  </sheets>
  <definedNames>
    <definedName name="_xlnm._FilterDatabase" localSheetId="12" hidden="1">'Cal Choice'!$A$1:$S$1</definedName>
    <definedName name="_xlnm._FilterDatabase" localSheetId="1" hidden="1">'Case Install'!$A$1:$S$66</definedName>
    <definedName name="_xlnm._FilterDatabase" localSheetId="7" hidden="1">ClmsClin!$A$1:$S$156</definedName>
    <definedName name="_xlnm._FilterDatabase" localSheetId="6" hidden="1">DE!$A$1:$S$93</definedName>
    <definedName name="_xlnm._FilterDatabase" localSheetId="15" hidden="1">Defects!$A$1:$G$20</definedName>
    <definedName name="_xlnm._FilterDatabase" localSheetId="2" hidden="1">Fulfillment!$A$1:$S$36</definedName>
    <definedName name="_xlnm._FilterDatabase" localSheetId="5" hidden="1">Maint!$A$1:$S$44</definedName>
    <definedName name="_xlnm._FilterDatabase" localSheetId="8" hidden="1">'PCP Assignment'!$A$1:$S$58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9" i="16" l="1"/>
  <c r="I8" i="16"/>
  <c r="I7" i="16"/>
  <c r="I6" i="16"/>
  <c r="I5" i="16"/>
  <c r="I4" i="16"/>
  <c r="I3" i="16"/>
  <c r="K9" i="16"/>
  <c r="B26" i="16" s="1"/>
  <c r="K8" i="16"/>
  <c r="K7" i="16"/>
  <c r="K6" i="16"/>
  <c r="K5" i="16"/>
  <c r="K4" i="16"/>
  <c r="K3" i="16"/>
  <c r="J9" i="16"/>
  <c r="B28" i="16" s="1"/>
  <c r="J8" i="16"/>
  <c r="J7" i="16"/>
  <c r="J6" i="16"/>
  <c r="J4" i="16"/>
  <c r="J3" i="16"/>
  <c r="D28" i="16" s="1"/>
  <c r="H9" i="16"/>
  <c r="B29" i="16" s="1"/>
  <c r="H8" i="16"/>
  <c r="C29" i="16" s="1"/>
  <c r="H7" i="16"/>
  <c r="H6" i="16"/>
  <c r="H5" i="16"/>
  <c r="H4" i="16"/>
  <c r="E29" i="16" s="1"/>
  <c r="J5" i="16"/>
  <c r="G26" i="16" l="1"/>
  <c r="G27" i="16"/>
  <c r="G28" i="16"/>
  <c r="G29" i="16"/>
  <c r="C9" i="16"/>
  <c r="B15" i="16" s="1"/>
  <c r="C8" i="16"/>
  <c r="C15" i="16" s="1"/>
  <c r="C7" i="16"/>
  <c r="C6" i="16"/>
  <c r="C5" i="16"/>
  <c r="C4" i="16"/>
  <c r="E15" i="16" s="1"/>
  <c r="C3" i="16"/>
  <c r="D15" i="16" s="1"/>
  <c r="G15" i="16" l="1"/>
  <c r="H15" i="16" s="1"/>
  <c r="I15" i="16" s="1"/>
  <c r="C10" i="16"/>
  <c r="L9" i="16"/>
  <c r="L8" i="16"/>
  <c r="L7" i="16"/>
  <c r="L6" i="16"/>
  <c r="L5" i="16"/>
  <c r="L4" i="16"/>
  <c r="E20" i="16" s="1"/>
  <c r="L3" i="16"/>
  <c r="J15" i="16" l="1"/>
  <c r="C28" i="16"/>
  <c r="E28" i="16"/>
  <c r="C26" i="16"/>
  <c r="E26" i="16"/>
  <c r="D26" i="16"/>
  <c r="B27" i="16"/>
  <c r="C27" i="16"/>
  <c r="E27" i="16"/>
  <c r="D27" i="16"/>
  <c r="H3" i="16"/>
  <c r="D29" i="16" s="1"/>
  <c r="G3" i="16"/>
  <c r="D19" i="16" s="1"/>
  <c r="M9" i="16"/>
  <c r="B21" i="16" s="1"/>
  <c r="M8" i="16"/>
  <c r="C21" i="16" s="1"/>
  <c r="M7" i="16"/>
  <c r="M6" i="16"/>
  <c r="M5" i="16"/>
  <c r="M4" i="16"/>
  <c r="E21" i="16" s="1"/>
  <c r="E22" i="16" s="1"/>
  <c r="M3" i="16"/>
  <c r="D21" i="16" s="1"/>
  <c r="B20" i="16"/>
  <c r="C20" i="16"/>
  <c r="D20" i="16"/>
  <c r="G9" i="16"/>
  <c r="B19" i="16" s="1"/>
  <c r="G8" i="16"/>
  <c r="G7" i="16"/>
  <c r="G6" i="16"/>
  <c r="G5" i="16"/>
  <c r="G4" i="16"/>
  <c r="E19" i="16" s="1"/>
  <c r="F9" i="16"/>
  <c r="B18" i="16" s="1"/>
  <c r="F8" i="16"/>
  <c r="F7" i="16"/>
  <c r="F6" i="16"/>
  <c r="F5" i="16"/>
  <c r="F4" i="16"/>
  <c r="F3" i="16"/>
  <c r="E9" i="16"/>
  <c r="B17" i="16" s="1"/>
  <c r="E8" i="16"/>
  <c r="C17" i="16" s="1"/>
  <c r="E7" i="16"/>
  <c r="E6" i="16"/>
  <c r="E5" i="16"/>
  <c r="E4" i="16"/>
  <c r="E17" i="16" s="1"/>
  <c r="E3" i="16"/>
  <c r="D17" i="16" s="1"/>
  <c r="D9" i="16"/>
  <c r="B16" i="16" s="1"/>
  <c r="D8" i="16"/>
  <c r="C16" i="16" s="1"/>
  <c r="D7" i="16"/>
  <c r="D6" i="16"/>
  <c r="D5" i="16"/>
  <c r="D4" i="16"/>
  <c r="E16" i="16" s="1"/>
  <c r="D3" i="16"/>
  <c r="D16" i="16" s="1"/>
  <c r="B9" i="16"/>
  <c r="B8" i="16"/>
  <c r="B7" i="16"/>
  <c r="B6" i="16"/>
  <c r="B5" i="16"/>
  <c r="B4" i="16"/>
  <c r="B3" i="16"/>
  <c r="E30" i="16" l="1"/>
  <c r="H26" i="16"/>
  <c r="I26" i="16" s="1"/>
  <c r="C19" i="16"/>
  <c r="F22" i="16"/>
  <c r="J10" i="16"/>
  <c r="H10" i="16"/>
  <c r="K10" i="16"/>
  <c r="I10" i="16"/>
  <c r="G20" i="16"/>
  <c r="H20" i="16" s="1"/>
  <c r="G16" i="16"/>
  <c r="H16" i="16" s="1"/>
  <c r="N9" i="16"/>
  <c r="G17" i="16"/>
  <c r="G21" i="16"/>
  <c r="H21" i="16"/>
  <c r="N3" i="16"/>
  <c r="N4" i="16"/>
  <c r="M10" i="16"/>
  <c r="N5" i="16"/>
  <c r="N6" i="16"/>
  <c r="N7" i="16"/>
  <c r="N8" i="16"/>
  <c r="D14" i="16"/>
  <c r="E14" i="16"/>
  <c r="B14" i="16"/>
  <c r="B22" i="16" s="1"/>
  <c r="C14" i="16"/>
  <c r="G14" i="16"/>
  <c r="L10" i="16"/>
  <c r="D18" i="16"/>
  <c r="C18" i="16"/>
  <c r="E18" i="16"/>
  <c r="G18" i="16"/>
  <c r="G19" i="16"/>
  <c r="G10" i="16"/>
  <c r="F10" i="16"/>
  <c r="E10" i="16"/>
  <c r="D10" i="16"/>
  <c r="B10" i="16"/>
  <c r="J26" i="16" l="1"/>
  <c r="H19" i="16"/>
  <c r="I19" i="16" s="1"/>
  <c r="I20" i="16"/>
  <c r="I21" i="16"/>
  <c r="F30" i="16"/>
  <c r="D22" i="16"/>
  <c r="J21" i="16"/>
  <c r="C22" i="16"/>
  <c r="G22" i="16"/>
  <c r="J20" i="16"/>
  <c r="H18" i="16"/>
  <c r="I18" i="16" s="1"/>
  <c r="I16" i="16"/>
  <c r="H17" i="16"/>
  <c r="H14" i="16"/>
  <c r="J16" i="16"/>
  <c r="N10" i="16"/>
  <c r="J19" i="16" l="1"/>
  <c r="B30" i="16"/>
  <c r="H27" i="16"/>
  <c r="J27" i="16" s="1"/>
  <c r="G30" i="16"/>
  <c r="C30" i="16"/>
  <c r="D30" i="16"/>
  <c r="H28" i="16"/>
  <c r="I28" i="16" s="1"/>
  <c r="J18" i="16"/>
  <c r="H29" i="16"/>
  <c r="I29" i="16" s="1"/>
  <c r="J14" i="16"/>
  <c r="H22" i="16"/>
  <c r="I17" i="16"/>
  <c r="J17" i="16"/>
  <c r="I14" i="16"/>
  <c r="J29" i="16" l="1"/>
  <c r="J28" i="16"/>
  <c r="I27" i="16"/>
  <c r="H30" i="16"/>
  <c r="I30" i="16" s="1"/>
  <c r="I22" i="16"/>
  <c r="J22" i="16"/>
  <c r="J30" i="1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kscher2</author>
    <author>Kirubakar Abraham</author>
  </authors>
  <commentList>
    <comment ref="A1" authorId="0" shapeId="0" xr:uid="{E9C13009-1DDD-4954-92CD-154FF129A42B}">
      <text>
        <r>
          <rPr>
            <sz val="8"/>
            <color indexed="81"/>
            <rFont val="Tahoma"/>
            <family val="2"/>
          </rPr>
          <t xml:space="preserve">Application where test activities are going to occur
</t>
        </r>
      </text>
    </comment>
    <comment ref="B1" authorId="1" shapeId="0" xr:uid="{811A7D0B-9F7D-49C4-ABFE-28D2B7902E7A}">
      <text>
        <r>
          <rPr>
            <sz val="8"/>
            <color indexed="81"/>
            <rFont val="Tahoma"/>
            <family val="2"/>
          </rPr>
          <t xml:space="preserve">The name of the test.  
This identifies the test in Quality Center
A possible naming convention
S###_T##_name_of_the_test
(S### for the script T## for a unique business process or test activity within the script)
WF### for workflows. (No spaces.)
</t>
        </r>
      </text>
    </comment>
    <comment ref="F1" authorId="0" shapeId="0" xr:uid="{3B5B262F-8CD5-4D9A-A998-153B8AAAF7BC}">
      <text>
        <r>
          <rPr>
            <b/>
            <sz val="8"/>
            <color indexed="81"/>
            <rFont val="Tahoma"/>
            <family val="2"/>
          </rPr>
          <t xml:space="preserve">Default if blank - Designed
Designed - If the script has not yet been reviewed and approved
Reviewed - If the script has been reviewed
Approved -If the script has been reviewed and approved
</t>
        </r>
        <r>
          <rPr>
            <sz val="8"/>
            <color indexed="81"/>
            <rFont val="Tahoma"/>
            <family val="2"/>
          </rPr>
          <t xml:space="preserve">
</t>
        </r>
      </text>
    </comment>
    <comment ref="H1" authorId="1" shapeId="0" xr:uid="{E76C1270-4AAB-4926-8505-4E0C8BB4E140}">
      <text>
        <r>
          <rPr>
            <sz val="8"/>
            <color indexed="81"/>
            <rFont val="Tahoma"/>
            <family val="2"/>
          </rPr>
          <t xml:space="preserve">Each step in a script will have a number. 
This will be a sequence starting with Step 1.
</t>
        </r>
      </text>
    </comment>
    <comment ref="K1" authorId="1" shapeId="0" xr:uid="{0ABF3080-9C6F-4BEA-A32B-CF6AF8BF8A10}">
      <text>
        <r>
          <rPr>
            <sz val="8"/>
            <color indexed="81"/>
            <rFont val="Tahoma"/>
            <family val="2"/>
          </rPr>
          <t>Enter the description or the specific action that needs to be performed for each step.</t>
        </r>
      </text>
    </comment>
    <comment ref="L1" authorId="0" shapeId="0" xr:uid="{770CC4E6-6D7C-4C26-BFBA-C8D28C4830DD}">
      <text>
        <r>
          <rPr>
            <sz val="8"/>
            <color indexed="81"/>
            <rFont val="Tahoma"/>
            <family val="2"/>
          </rPr>
          <t>When loading test script 
to Quality Center for execution, leave this field blank</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kscher2</author>
    <author>Kirubakar Abraham</author>
  </authors>
  <commentList>
    <comment ref="A1" authorId="0" shapeId="0" xr:uid="{1016AAEB-2461-4A09-875D-0609DCC56FB6}">
      <text>
        <r>
          <rPr>
            <sz val="8"/>
            <color indexed="81"/>
            <rFont val="Tahoma"/>
            <family val="2"/>
          </rPr>
          <t xml:space="preserve">Application where test activities are going to occur
</t>
        </r>
      </text>
    </comment>
    <comment ref="B1" authorId="1" shapeId="0" xr:uid="{4DA599B4-C5EC-40F4-AF8A-6DBDEAFA8F70}">
      <text>
        <r>
          <rPr>
            <sz val="8"/>
            <color indexed="81"/>
            <rFont val="Tahoma"/>
            <family val="2"/>
          </rPr>
          <t xml:space="preserve">The name of the test.  
This identifies the test in Quality Center
A possible naming convention
S###_T##_name_of_the_test
(S### for the script T## for a unique business process or test activity within the script)
WF### for workflows. (No spaces.)
</t>
        </r>
      </text>
    </comment>
    <comment ref="F1" authorId="0" shapeId="0" xr:uid="{5FFE6EFB-C7B4-47CD-B428-983E9219F0B8}">
      <text>
        <r>
          <rPr>
            <b/>
            <sz val="8"/>
            <color indexed="81"/>
            <rFont val="Tahoma"/>
            <family val="2"/>
          </rPr>
          <t xml:space="preserve">Default if blank - Designed
Designed - If the script has not yet been reviewed and approved
Reviewed - If the script has been reviewed
Approved -If the script has been reviewed and approved
</t>
        </r>
        <r>
          <rPr>
            <sz val="8"/>
            <color indexed="81"/>
            <rFont val="Tahoma"/>
            <family val="2"/>
          </rPr>
          <t xml:space="preserve">
</t>
        </r>
      </text>
    </comment>
    <comment ref="H1" authorId="1" shapeId="0" xr:uid="{4ADC4D43-0835-444C-AB3C-59C719B484C8}">
      <text>
        <r>
          <rPr>
            <sz val="8"/>
            <color indexed="81"/>
            <rFont val="Tahoma"/>
            <family val="2"/>
          </rPr>
          <t xml:space="preserve">Each step in a script will have a number. 
This will be a sequence starting with Step 1.
</t>
        </r>
      </text>
    </comment>
    <comment ref="K1" authorId="1" shapeId="0" xr:uid="{C12BA137-69B6-43BF-B23A-35487EB84FBD}">
      <text>
        <r>
          <rPr>
            <sz val="8"/>
            <color indexed="81"/>
            <rFont val="Tahoma"/>
            <family val="2"/>
          </rPr>
          <t>Enter the description or the specific action that needs to be performed for each step.</t>
        </r>
      </text>
    </comment>
    <comment ref="L1" authorId="0" shapeId="0" xr:uid="{E5607CE9-03F8-4E66-AD1F-34A70BA958B9}">
      <text>
        <r>
          <rPr>
            <sz val="8"/>
            <color indexed="81"/>
            <rFont val="Tahoma"/>
            <family val="2"/>
          </rPr>
          <t>When loading test script 
to Quality Center for execution, leave this field blank</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kscher2</author>
    <author>Kirubakar Abraham</author>
  </authors>
  <commentList>
    <comment ref="A1" authorId="0" shapeId="0" xr:uid="{8DEE9E0C-0765-4D2E-8732-1D71F5C846DD}">
      <text>
        <r>
          <rPr>
            <sz val="8"/>
            <color indexed="81"/>
            <rFont val="Tahoma"/>
            <family val="2"/>
          </rPr>
          <t xml:space="preserve">Application where test activities are going to occur
</t>
        </r>
      </text>
    </comment>
    <comment ref="B1" authorId="1" shapeId="0" xr:uid="{7D938AF7-EC6B-4703-AE95-90C52349EBBF}">
      <text>
        <r>
          <rPr>
            <sz val="8"/>
            <color indexed="81"/>
            <rFont val="Tahoma"/>
            <family val="2"/>
          </rPr>
          <t xml:space="preserve">The name of the test.  
This identifies the test in Quality Center
A possible naming convention
S###_T##_name_of_the_test
(S### for the script T## for a unique business process or test activity within the script)
WF### for workflows. (No spaces.)
</t>
        </r>
      </text>
    </comment>
    <comment ref="F1" authorId="0" shapeId="0" xr:uid="{99432889-8299-4F67-825B-FAD7C6574BE2}">
      <text>
        <r>
          <rPr>
            <b/>
            <sz val="8"/>
            <color indexed="81"/>
            <rFont val="Tahoma"/>
            <family val="2"/>
          </rPr>
          <t xml:space="preserve">Default if blank - Designed
Designed - If the script has not yet been reviewed and approved
Reviewed - If the script has been reviewed
Approved -If the script has been reviewed and approved
</t>
        </r>
        <r>
          <rPr>
            <sz val="8"/>
            <color indexed="81"/>
            <rFont val="Tahoma"/>
            <family val="2"/>
          </rPr>
          <t xml:space="preserve">
</t>
        </r>
      </text>
    </comment>
    <comment ref="H1" authorId="1" shapeId="0" xr:uid="{1C789163-25EE-43DD-AFB7-9310B30FC5E9}">
      <text>
        <r>
          <rPr>
            <sz val="8"/>
            <color indexed="81"/>
            <rFont val="Tahoma"/>
            <family val="2"/>
          </rPr>
          <t xml:space="preserve">Each step in a script will have a number. 
This will be a sequence starting with Step 1.
</t>
        </r>
      </text>
    </comment>
    <comment ref="K1" authorId="1" shapeId="0" xr:uid="{DC641271-6626-41E9-8090-5FEDFE5AC448}">
      <text>
        <r>
          <rPr>
            <sz val="8"/>
            <color indexed="81"/>
            <rFont val="Tahoma"/>
            <family val="2"/>
          </rPr>
          <t>Enter the description or the specific action that needs to be performed for each step.</t>
        </r>
      </text>
    </comment>
    <comment ref="L1" authorId="0" shapeId="0" xr:uid="{829A44D9-B9AB-417B-A73D-5F29339609FB}">
      <text>
        <r>
          <rPr>
            <sz val="8"/>
            <color indexed="81"/>
            <rFont val="Tahoma"/>
            <family val="2"/>
          </rPr>
          <t>When loading test script 
to Quality Center for execution, leave this field blank</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kscher2</author>
    <author>Kirubakar Abraham</author>
  </authors>
  <commentList>
    <comment ref="A1" authorId="0" shapeId="0" xr:uid="{C5EA2028-D276-4CAB-AA19-4A61BF3F48EE}">
      <text>
        <r>
          <rPr>
            <sz val="8"/>
            <color indexed="81"/>
            <rFont val="Tahoma"/>
            <family val="2"/>
          </rPr>
          <t xml:space="preserve">Application where test activities are going to occur
</t>
        </r>
      </text>
    </comment>
    <comment ref="B1" authorId="1" shapeId="0" xr:uid="{BDFCF4BB-75D1-4D95-926A-100EC4CB93B2}">
      <text>
        <r>
          <rPr>
            <sz val="8"/>
            <color indexed="81"/>
            <rFont val="Tahoma"/>
            <family val="2"/>
          </rPr>
          <t xml:space="preserve">The name of the test.  
This identifies the test in Quality Center
A possible naming convention
S###_T##_name_of_the_test
(S### for the script T## for a unique business process or test activity within the script)
WF### for workflows. (No spaces.)
</t>
        </r>
      </text>
    </comment>
    <comment ref="F1" authorId="0" shapeId="0" xr:uid="{A185EE13-1A1F-4C82-8096-2B245107363B}">
      <text>
        <r>
          <rPr>
            <b/>
            <sz val="8"/>
            <color indexed="81"/>
            <rFont val="Tahoma"/>
            <family val="2"/>
          </rPr>
          <t xml:space="preserve">Default if blank - Designed
Designed - If the script has not yet been reviewed and approved
Reviewed - If the script has been reviewed
Approved -If the script has been reviewed and approved
</t>
        </r>
        <r>
          <rPr>
            <sz val="8"/>
            <color indexed="81"/>
            <rFont val="Tahoma"/>
            <family val="2"/>
          </rPr>
          <t xml:space="preserve">
</t>
        </r>
      </text>
    </comment>
    <comment ref="H1" authorId="1" shapeId="0" xr:uid="{B5AEA344-0B63-4465-BC58-3AC2C3384ED1}">
      <text>
        <r>
          <rPr>
            <sz val="8"/>
            <color indexed="81"/>
            <rFont val="Tahoma"/>
            <family val="2"/>
          </rPr>
          <t xml:space="preserve">Each step in a script will have a number. 
This will be a sequence starting with Step 1.
</t>
        </r>
      </text>
    </comment>
    <comment ref="K1" authorId="1" shapeId="0" xr:uid="{77BD7360-35F7-4DE2-AAEC-94EDFAA4DE53}">
      <text>
        <r>
          <rPr>
            <sz val="8"/>
            <color indexed="81"/>
            <rFont val="Tahoma"/>
            <family val="2"/>
          </rPr>
          <t>Enter the description or the specific action that needs to be performed for each step.</t>
        </r>
      </text>
    </comment>
    <comment ref="L1" authorId="0" shapeId="0" xr:uid="{8CE0B64D-081E-48B4-9370-43F41A645152}">
      <text>
        <r>
          <rPr>
            <sz val="8"/>
            <color indexed="81"/>
            <rFont val="Tahoma"/>
            <family val="2"/>
          </rPr>
          <t>When loading test script 
to Quality Center for execution, leave this field blank</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kscher2</author>
    <author>Kirubakar Abraham</author>
  </authors>
  <commentList>
    <comment ref="A1" authorId="0" shapeId="0" xr:uid="{45F3127A-1A4B-4322-89A5-120440070E6B}">
      <text>
        <r>
          <rPr>
            <sz val="8"/>
            <color indexed="81"/>
            <rFont val="Tahoma"/>
            <family val="2"/>
          </rPr>
          <t xml:space="preserve">Application where test activities are going to occur
</t>
        </r>
      </text>
    </comment>
    <comment ref="B1" authorId="1" shapeId="0" xr:uid="{A25686C5-B6DD-4DC4-BF60-BA6FFBCC164D}">
      <text>
        <r>
          <rPr>
            <sz val="8"/>
            <color indexed="81"/>
            <rFont val="Tahoma"/>
            <family val="2"/>
          </rPr>
          <t xml:space="preserve">The name of the test.  
This identifies the test in Quality Center
A possible naming convention
S###_T##_name_of_the_test
(S### for the script T## for a unique business process or test activity within the script)
WF### for workflows. (No spaces.)
</t>
        </r>
      </text>
    </comment>
    <comment ref="F1" authorId="0" shapeId="0" xr:uid="{76B7E5B9-9AFD-423C-BC3D-9CD1529E72DB}">
      <text>
        <r>
          <rPr>
            <b/>
            <sz val="8"/>
            <color indexed="81"/>
            <rFont val="Tahoma"/>
            <family val="2"/>
          </rPr>
          <t xml:space="preserve">Default if blank - Designed
Designed - If the script has not yet been reviewed and approved
Reviewed - If the script has been reviewed
Approved -If the script has been reviewed and approved
</t>
        </r>
        <r>
          <rPr>
            <sz val="8"/>
            <color indexed="81"/>
            <rFont val="Tahoma"/>
            <family val="2"/>
          </rPr>
          <t xml:space="preserve">
</t>
        </r>
      </text>
    </comment>
    <comment ref="H1" authorId="1" shapeId="0" xr:uid="{4B9B1B8B-B5E3-495E-A3F4-1A36A77E8891}">
      <text>
        <r>
          <rPr>
            <sz val="8"/>
            <color indexed="81"/>
            <rFont val="Tahoma"/>
            <family val="2"/>
          </rPr>
          <t xml:space="preserve">Each step in a script will have a number. 
This will be a sequence starting with Step 1.
</t>
        </r>
      </text>
    </comment>
    <comment ref="K1" authorId="1" shapeId="0" xr:uid="{3FD496A4-56BF-4965-BAD0-111F64287EAE}">
      <text>
        <r>
          <rPr>
            <sz val="8"/>
            <color indexed="81"/>
            <rFont val="Tahoma"/>
            <family val="2"/>
          </rPr>
          <t>Enter the description or the specific action that needs to be performed for each step.</t>
        </r>
      </text>
    </comment>
    <comment ref="L1" authorId="0" shapeId="0" xr:uid="{22F759E0-A0AC-4C09-ACFF-10E00CB5C003}">
      <text>
        <r>
          <rPr>
            <sz val="8"/>
            <color indexed="81"/>
            <rFont val="Tahoma"/>
            <family val="2"/>
          </rPr>
          <t>When loading test script 
to Quality Center for execution, leave this field blank</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kscher2</author>
    <author>Kirubakar Abraham</author>
  </authors>
  <commentList>
    <comment ref="A1" authorId="0" shapeId="0" xr:uid="{CC2C4FC9-562E-4661-93EE-2B56F5F9F0EF}">
      <text>
        <r>
          <rPr>
            <sz val="8"/>
            <color indexed="81"/>
            <rFont val="Tahoma"/>
            <family val="2"/>
          </rPr>
          <t xml:space="preserve">Application where test activities are going to occur
</t>
        </r>
      </text>
    </comment>
    <comment ref="B1" authorId="1" shapeId="0" xr:uid="{4EEC9545-F86A-4AEA-A8E8-8032CB9288B7}">
      <text>
        <r>
          <rPr>
            <sz val="8"/>
            <color indexed="81"/>
            <rFont val="Tahoma"/>
            <family val="2"/>
          </rPr>
          <t xml:space="preserve">The name of the test.  
This identifies the test in Quality Center
A possible naming convention
S###_T##_name_of_the_test
(S### for the script T## for a unique business process or test activity within the script)
WF### for workflows. (No spaces.)
</t>
        </r>
      </text>
    </comment>
    <comment ref="F1" authorId="0" shapeId="0" xr:uid="{BB1D0B71-11A9-43E7-A2AE-E5D3415F827C}">
      <text>
        <r>
          <rPr>
            <b/>
            <sz val="8"/>
            <color indexed="81"/>
            <rFont val="Tahoma"/>
            <family val="2"/>
          </rPr>
          <t xml:space="preserve">Default if blank - Designed
Designed - If the script has not yet been reviewed and approved
Reviewed - If the script has been reviewed
Approved -If the script has been reviewed and approved
</t>
        </r>
        <r>
          <rPr>
            <sz val="8"/>
            <color indexed="81"/>
            <rFont val="Tahoma"/>
            <family val="2"/>
          </rPr>
          <t xml:space="preserve">
</t>
        </r>
      </text>
    </comment>
    <comment ref="H1" authorId="1" shapeId="0" xr:uid="{BBCAFE53-C756-4C76-AA9A-4F01A393FAF9}">
      <text>
        <r>
          <rPr>
            <sz val="8"/>
            <color indexed="81"/>
            <rFont val="Tahoma"/>
            <family val="2"/>
          </rPr>
          <t xml:space="preserve">Each step in a script will have a number. 
This will be a sequence starting with Step 1.
</t>
        </r>
      </text>
    </comment>
    <comment ref="K1" authorId="1" shapeId="0" xr:uid="{63D977EC-27BE-4F23-AFD2-F0171CFF912A}">
      <text>
        <r>
          <rPr>
            <sz val="8"/>
            <color indexed="81"/>
            <rFont val="Tahoma"/>
            <family val="2"/>
          </rPr>
          <t>Enter the description or the specific action that needs to be performed for each step.</t>
        </r>
      </text>
    </comment>
    <comment ref="L1" authorId="0" shapeId="0" xr:uid="{71311652-ED9F-464D-BC6C-FD8296F4DDCC}">
      <text>
        <r>
          <rPr>
            <sz val="8"/>
            <color indexed="81"/>
            <rFont val="Tahoma"/>
            <family val="2"/>
          </rPr>
          <t>When loading test script 
to Quality Center for execution, leave this field blank</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kscher2</author>
    <author>Kirubakar Abraham</author>
  </authors>
  <commentList>
    <comment ref="A1" authorId="0" shapeId="0" xr:uid="{673C0D46-96F7-4F44-A998-E146064C5252}">
      <text>
        <r>
          <rPr>
            <sz val="8"/>
            <color indexed="81"/>
            <rFont val="Tahoma"/>
            <family val="2"/>
          </rPr>
          <t xml:space="preserve">Application where test activities are going to occur
</t>
        </r>
      </text>
    </comment>
    <comment ref="B1" authorId="1" shapeId="0" xr:uid="{3CC9AFF5-3669-49CD-B12B-681997786210}">
      <text>
        <r>
          <rPr>
            <sz val="8"/>
            <color indexed="81"/>
            <rFont val="Tahoma"/>
            <family val="2"/>
          </rPr>
          <t xml:space="preserve">The name of the test.  
This identifies the test in Quality Center
A possible naming convention
S###_T##_name_of_the_test
(S### for the script T## for a unique business process or test activity within the script)
WF### for workflows. (No spaces.)
</t>
        </r>
      </text>
    </comment>
    <comment ref="F1" authorId="0" shapeId="0" xr:uid="{96C66720-CC2E-4571-BA52-B35326706EAB}">
      <text>
        <r>
          <rPr>
            <b/>
            <sz val="8"/>
            <color indexed="81"/>
            <rFont val="Tahoma"/>
            <family val="2"/>
          </rPr>
          <t xml:space="preserve">Default if blank - Designed
Designed - If the script has not yet been reviewed and approved
Reviewed - If the script has been reviewed
Approved -If the script has been reviewed and approved
</t>
        </r>
        <r>
          <rPr>
            <sz val="8"/>
            <color indexed="81"/>
            <rFont val="Tahoma"/>
            <family val="2"/>
          </rPr>
          <t xml:space="preserve">
</t>
        </r>
      </text>
    </comment>
    <comment ref="H1" authorId="1" shapeId="0" xr:uid="{F4F18FF3-684A-4FE6-98BE-8D4A5BB14E10}">
      <text>
        <r>
          <rPr>
            <sz val="8"/>
            <color indexed="81"/>
            <rFont val="Tahoma"/>
            <family val="2"/>
          </rPr>
          <t xml:space="preserve">Each step in a script will have a number. 
This will be a sequence starting with Step 1.
</t>
        </r>
      </text>
    </comment>
    <comment ref="K1" authorId="1" shapeId="0" xr:uid="{2FEA5751-25F2-4FA8-9069-53877CF3B7C9}">
      <text>
        <r>
          <rPr>
            <sz val="8"/>
            <color indexed="81"/>
            <rFont val="Tahoma"/>
            <family val="2"/>
          </rPr>
          <t>Enter the description or the specific action that needs to be performed for each step.</t>
        </r>
      </text>
    </comment>
    <comment ref="L1" authorId="0" shapeId="0" xr:uid="{3A135520-C126-4811-A3ED-35B959487A27}">
      <text>
        <r>
          <rPr>
            <sz val="8"/>
            <color indexed="81"/>
            <rFont val="Tahoma"/>
            <family val="2"/>
          </rPr>
          <t>When loading test script 
to Quality Center for execution, leave this field blank</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kscher2</author>
    <author>Kirubakar Abraham</author>
  </authors>
  <commentList>
    <comment ref="A1" authorId="0" shapeId="0" xr:uid="{F9A7583F-CA2E-43F3-AB22-073F7B750C35}">
      <text>
        <r>
          <rPr>
            <sz val="8"/>
            <color indexed="81"/>
            <rFont val="Tahoma"/>
            <family val="2"/>
          </rPr>
          <t xml:space="preserve">Application where test activities are going to occur
</t>
        </r>
      </text>
    </comment>
    <comment ref="B1" authorId="1" shapeId="0" xr:uid="{97B27527-DC89-4AD8-A19B-F53DA2BB997C}">
      <text>
        <r>
          <rPr>
            <sz val="8"/>
            <color indexed="81"/>
            <rFont val="Tahoma"/>
            <family val="2"/>
          </rPr>
          <t xml:space="preserve">The name of the test.  
This identifies the test in Quality Center
A possible naming convention
S###_T##_name_of_the_test
(S### for the script T## for a unique business process or test activity within the script)
WF### for workflows. (No spaces.)
</t>
        </r>
      </text>
    </comment>
    <comment ref="F1" authorId="0" shapeId="0" xr:uid="{D8F4CD24-424E-49C8-A050-2ACF0FB362C5}">
      <text>
        <r>
          <rPr>
            <b/>
            <sz val="8"/>
            <color indexed="81"/>
            <rFont val="Tahoma"/>
            <family val="2"/>
          </rPr>
          <t xml:space="preserve">Default if blank - Designed
Designed - If the script has not yet been reviewed and approved
Reviewed - If the script has been reviewed
Approved -If the script has been reviewed and approved
</t>
        </r>
        <r>
          <rPr>
            <sz val="8"/>
            <color indexed="81"/>
            <rFont val="Tahoma"/>
            <family val="2"/>
          </rPr>
          <t xml:space="preserve">
</t>
        </r>
      </text>
    </comment>
    <comment ref="H1" authorId="1" shapeId="0" xr:uid="{6A9E6CB4-6B09-4396-A77A-B05FA8AF17E1}">
      <text>
        <r>
          <rPr>
            <sz val="8"/>
            <color indexed="81"/>
            <rFont val="Tahoma"/>
            <family val="2"/>
          </rPr>
          <t xml:space="preserve">Each step in a script will have a number. 
This will be a sequence starting with Step 1.
</t>
        </r>
      </text>
    </comment>
    <comment ref="K1" authorId="1" shapeId="0" xr:uid="{BE8F3916-43FE-40AB-8ACF-E02600EE1FDB}">
      <text>
        <r>
          <rPr>
            <sz val="8"/>
            <color indexed="81"/>
            <rFont val="Tahoma"/>
            <family val="2"/>
          </rPr>
          <t>Enter the description or the specific action that needs to be performed for each step.</t>
        </r>
      </text>
    </comment>
    <comment ref="L1" authorId="0" shapeId="0" xr:uid="{115AE9BC-8688-4936-A293-7D808F2E14BD}">
      <text>
        <r>
          <rPr>
            <sz val="8"/>
            <color indexed="81"/>
            <rFont val="Tahoma"/>
            <family val="2"/>
          </rPr>
          <t>When loading test script 
to Quality Center for execution, leave this field blank</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kscher2</author>
    <author>Kirubakar Abraham</author>
  </authors>
  <commentList>
    <comment ref="A1" authorId="0" shapeId="0" xr:uid="{4D8455FD-77F1-4780-B20A-D8F95F2A5281}">
      <text>
        <r>
          <rPr>
            <sz val="8"/>
            <color indexed="81"/>
            <rFont val="Tahoma"/>
            <family val="2"/>
          </rPr>
          <t xml:space="preserve">Application where test activities are going to occur
</t>
        </r>
      </text>
    </comment>
    <comment ref="B1" authorId="1" shapeId="0" xr:uid="{1E790F57-B454-4F99-AB8D-3FEC9747FA64}">
      <text>
        <r>
          <rPr>
            <sz val="8"/>
            <color indexed="81"/>
            <rFont val="Tahoma"/>
            <family val="2"/>
          </rPr>
          <t xml:space="preserve">The name of the test.  
This identifies the test in Quality Center
A possible naming convention
S###_T##_name_of_the_test
(S### for the script T## for a unique business process or test activity within the script)
WF### for workflows. (No spaces.)
</t>
        </r>
      </text>
    </comment>
    <comment ref="F1" authorId="0" shapeId="0" xr:uid="{328ED173-1160-416E-BC8B-654C62312BB6}">
      <text>
        <r>
          <rPr>
            <b/>
            <sz val="8"/>
            <color indexed="81"/>
            <rFont val="Tahoma"/>
            <family val="2"/>
          </rPr>
          <t xml:space="preserve">Default if blank - Designed
Designed - If the script has not yet been reviewed and approved
Reviewed - If the script has been reviewed
Approved -If the script has been reviewed and approved
</t>
        </r>
        <r>
          <rPr>
            <sz val="8"/>
            <color indexed="81"/>
            <rFont val="Tahoma"/>
            <family val="2"/>
          </rPr>
          <t xml:space="preserve">
</t>
        </r>
      </text>
    </comment>
    <comment ref="H1" authorId="1" shapeId="0" xr:uid="{EF04248D-365F-4906-ADDF-908228A3C502}">
      <text>
        <r>
          <rPr>
            <sz val="8"/>
            <color indexed="81"/>
            <rFont val="Tahoma"/>
            <family val="2"/>
          </rPr>
          <t xml:space="preserve">Each step in a script will have a number. 
This will be a sequence starting with Step 1.
</t>
        </r>
      </text>
    </comment>
    <comment ref="K1" authorId="1" shapeId="0" xr:uid="{7655BC35-748E-46CB-BABB-832162F6AD5A}">
      <text>
        <r>
          <rPr>
            <sz val="8"/>
            <color indexed="81"/>
            <rFont val="Tahoma"/>
            <family val="2"/>
          </rPr>
          <t>Enter the description or the specific action that needs to be performed for each step.</t>
        </r>
      </text>
    </comment>
    <comment ref="L1" authorId="0" shapeId="0" xr:uid="{FC9F30A0-FC8D-45A0-BB2A-E76435662C04}">
      <text>
        <r>
          <rPr>
            <sz val="8"/>
            <color indexed="81"/>
            <rFont val="Tahoma"/>
            <family val="2"/>
          </rPr>
          <t>When loading test script 
to Quality Center for execution, leave this field blank</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kscher2</author>
    <author>Kirubakar Abraham</author>
  </authors>
  <commentList>
    <comment ref="A1" authorId="0" shapeId="0" xr:uid="{B0610A7D-22B8-4B3C-A43D-EB7FB9A28F13}">
      <text>
        <r>
          <rPr>
            <sz val="8"/>
            <color indexed="81"/>
            <rFont val="Tahoma"/>
            <family val="2"/>
          </rPr>
          <t xml:space="preserve">Application where test activities are going to occur
</t>
        </r>
      </text>
    </comment>
    <comment ref="B1" authorId="1" shapeId="0" xr:uid="{B8C2ED87-E42E-4474-99D5-EBA9EE87CBB0}">
      <text>
        <r>
          <rPr>
            <sz val="8"/>
            <color indexed="81"/>
            <rFont val="Tahoma"/>
            <family val="2"/>
          </rPr>
          <t xml:space="preserve">The name of the test.  
This identifies the test in Quality Center
A possible naming convention
S###_T##_name_of_the_test
(S### for the script T## for a unique business process or test activity within the script)
WF### for workflows. (No spaces.)
</t>
        </r>
      </text>
    </comment>
    <comment ref="F1" authorId="0" shapeId="0" xr:uid="{AF73D4AA-8B85-4CB9-9E73-6A330D87A88A}">
      <text>
        <r>
          <rPr>
            <b/>
            <sz val="8"/>
            <color indexed="81"/>
            <rFont val="Tahoma"/>
            <family val="2"/>
          </rPr>
          <t xml:space="preserve">Default if blank - Designed
Designed - If the script has not yet been reviewed and approved
Reviewed - If the script has been reviewed
Approved -If the script has been reviewed and approved
</t>
        </r>
        <r>
          <rPr>
            <sz val="8"/>
            <color indexed="81"/>
            <rFont val="Tahoma"/>
            <family val="2"/>
          </rPr>
          <t xml:space="preserve">
</t>
        </r>
      </text>
    </comment>
    <comment ref="H1" authorId="1" shapeId="0" xr:uid="{F46F88EB-AD8A-4151-9228-CCF0E8B5CE9B}">
      <text>
        <r>
          <rPr>
            <sz val="8"/>
            <color indexed="81"/>
            <rFont val="Tahoma"/>
            <family val="2"/>
          </rPr>
          <t xml:space="preserve">Each step in a script will have a number. 
This will be a sequence starting with Step 1.
</t>
        </r>
      </text>
    </comment>
    <comment ref="K1" authorId="1" shapeId="0" xr:uid="{81058230-9057-42B7-89B5-09F0C337EF23}">
      <text>
        <r>
          <rPr>
            <sz val="8"/>
            <color indexed="81"/>
            <rFont val="Tahoma"/>
            <family val="2"/>
          </rPr>
          <t>Enter the description or the specific action that needs to be performed for each step.</t>
        </r>
      </text>
    </comment>
    <comment ref="L1" authorId="0" shapeId="0" xr:uid="{874BC003-A25D-42A6-A170-DFD1D4AC8095}">
      <text>
        <r>
          <rPr>
            <sz val="8"/>
            <color indexed="81"/>
            <rFont val="Tahoma"/>
            <family val="2"/>
          </rPr>
          <t>When loading test script 
to Quality Center for execution, leave this field blank</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kscher2</author>
    <author>Kirubakar Abraham</author>
  </authors>
  <commentList>
    <comment ref="A1" authorId="0" shapeId="0" xr:uid="{07EA2818-9EC7-4035-A079-C84A3E7177E2}">
      <text>
        <r>
          <rPr>
            <sz val="8"/>
            <color indexed="81"/>
            <rFont val="Tahoma"/>
            <family val="2"/>
          </rPr>
          <t xml:space="preserve">Application where test activities are going to occur
</t>
        </r>
      </text>
    </comment>
    <comment ref="B1" authorId="1" shapeId="0" xr:uid="{58584C46-80BD-4389-B4FF-CD2FCF8BC614}">
      <text>
        <r>
          <rPr>
            <sz val="8"/>
            <color indexed="81"/>
            <rFont val="Tahoma"/>
            <family val="2"/>
          </rPr>
          <t xml:space="preserve">The name of the test.  
This identifies the test in Quality Center
A possible naming convention
S###_T##_name_of_the_test
(S### for the script T## for a unique business process or test activity within the script)
WF### for workflows. (No spaces.)
</t>
        </r>
      </text>
    </comment>
    <comment ref="F1" authorId="0" shapeId="0" xr:uid="{F6F9014B-08C2-40CF-A27D-18997C8E68BB}">
      <text>
        <r>
          <rPr>
            <b/>
            <sz val="8"/>
            <color indexed="81"/>
            <rFont val="Tahoma"/>
            <family val="2"/>
          </rPr>
          <t xml:space="preserve">Default if blank - Designed
Designed - If the script has not yet been reviewed and approved
Reviewed - If the script has been reviewed
Approved -If the script has been reviewed and approved
</t>
        </r>
        <r>
          <rPr>
            <sz val="8"/>
            <color indexed="81"/>
            <rFont val="Tahoma"/>
            <family val="2"/>
          </rPr>
          <t xml:space="preserve">
</t>
        </r>
      </text>
    </comment>
    <comment ref="H1" authorId="1" shapeId="0" xr:uid="{9E157521-ECAC-452A-A742-C37062FDC894}">
      <text>
        <r>
          <rPr>
            <sz val="8"/>
            <color indexed="81"/>
            <rFont val="Tahoma"/>
            <family val="2"/>
          </rPr>
          <t xml:space="preserve">Each step in a script will have a number. 
This will be a sequence starting with Step 1.
</t>
        </r>
      </text>
    </comment>
    <comment ref="K1" authorId="1" shapeId="0" xr:uid="{70D7014C-458F-4C1F-856A-DCC59BB308CA}">
      <text>
        <r>
          <rPr>
            <sz val="8"/>
            <color indexed="81"/>
            <rFont val="Tahoma"/>
            <family val="2"/>
          </rPr>
          <t>Enter the description or the specific action that needs to be performed for each step.</t>
        </r>
      </text>
    </comment>
    <comment ref="L1" authorId="0" shapeId="0" xr:uid="{A5477085-4B86-4064-8AC3-D5FA520829F6}">
      <text>
        <r>
          <rPr>
            <sz val="8"/>
            <color indexed="81"/>
            <rFont val="Tahoma"/>
            <family val="2"/>
          </rPr>
          <t>When loading test script 
to Quality Center for execution, leave this field blank</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kscher2</author>
    <author>Kirubakar Abraham</author>
  </authors>
  <commentList>
    <comment ref="A1" authorId="0" shapeId="0" xr:uid="{56159045-C1F6-49CB-A50A-8F9E40E8875B}">
      <text>
        <r>
          <rPr>
            <sz val="8"/>
            <color indexed="81"/>
            <rFont val="Tahoma"/>
            <family val="2"/>
          </rPr>
          <t xml:space="preserve">Application where test activities are going to occur
</t>
        </r>
      </text>
    </comment>
    <comment ref="B1" authorId="1" shapeId="0" xr:uid="{C1664A56-AA3E-435E-BF8D-27DFB1462C0D}">
      <text>
        <r>
          <rPr>
            <sz val="8"/>
            <color indexed="81"/>
            <rFont val="Tahoma"/>
            <family val="2"/>
          </rPr>
          <t xml:space="preserve">The name of the test.  
This identifies the test in Quality Center
A possible naming convention
S###_T##_name_of_the_test
(S### for the script T## for a unique business process or test activity within the script)
WF### for workflows. (No spaces.)
</t>
        </r>
      </text>
    </comment>
    <comment ref="F1" authorId="0" shapeId="0" xr:uid="{6EA489C6-7AC8-4519-9F82-4110684E6AB2}">
      <text>
        <r>
          <rPr>
            <b/>
            <sz val="8"/>
            <color indexed="81"/>
            <rFont val="Tahoma"/>
            <family val="2"/>
          </rPr>
          <t xml:space="preserve">Default if blank - Designed
Designed - If the script has not yet been reviewed and approved
Reviewed - If the script has been reviewed
Approved -If the script has been reviewed and approved
</t>
        </r>
        <r>
          <rPr>
            <sz val="8"/>
            <color indexed="81"/>
            <rFont val="Tahoma"/>
            <family val="2"/>
          </rPr>
          <t xml:space="preserve">
</t>
        </r>
      </text>
    </comment>
    <comment ref="H1" authorId="1" shapeId="0" xr:uid="{85A939A7-5681-449C-8667-81510B2881E3}">
      <text>
        <r>
          <rPr>
            <sz val="8"/>
            <color indexed="81"/>
            <rFont val="Tahoma"/>
            <family val="2"/>
          </rPr>
          <t xml:space="preserve">Each step in a script will have a number. 
This will be a sequence starting with Step 1.
</t>
        </r>
      </text>
    </comment>
    <comment ref="K1" authorId="1" shapeId="0" xr:uid="{F07EFF52-7CA6-43D5-AB7A-F32A7BA33AFF}">
      <text>
        <r>
          <rPr>
            <sz val="8"/>
            <color indexed="81"/>
            <rFont val="Tahoma"/>
            <family val="2"/>
          </rPr>
          <t>Enter the description or the specific action that needs to be performed for each step.</t>
        </r>
      </text>
    </comment>
    <comment ref="L1" authorId="0" shapeId="0" xr:uid="{5A56B0DD-A772-44A4-9446-CE5191318761}">
      <text>
        <r>
          <rPr>
            <sz val="8"/>
            <color indexed="81"/>
            <rFont val="Tahoma"/>
            <family val="2"/>
          </rPr>
          <t>When loading test script 
to Quality Center for execution, leave this field blank</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kscher2</author>
    <author>Kirubakar Abraham</author>
  </authors>
  <commentList>
    <comment ref="A1" authorId="0" shapeId="0" xr:uid="{29C829AA-755B-482B-873F-24DCE967A119}">
      <text>
        <r>
          <rPr>
            <sz val="8"/>
            <color indexed="81"/>
            <rFont val="Tahoma"/>
            <family val="2"/>
          </rPr>
          <t xml:space="preserve">Application where test activities are going to occur
</t>
        </r>
      </text>
    </comment>
    <comment ref="B1" authorId="1" shapeId="0" xr:uid="{424EB0AB-C0BC-4B3A-B880-8C48A7DDC6C3}">
      <text>
        <r>
          <rPr>
            <sz val="8"/>
            <color indexed="81"/>
            <rFont val="Tahoma"/>
            <family val="2"/>
          </rPr>
          <t xml:space="preserve">The name of the test.  
This identifies the test in Quality Center
A possible naming convention
S###_T##_name_of_the_test
(S### for the script T## for a unique business process or test activity within the script)
WF### for workflows. (No spaces.)
</t>
        </r>
      </text>
    </comment>
    <comment ref="F1" authorId="0" shapeId="0" xr:uid="{81D10FE5-9B39-4638-B6D3-F72AFD85F4A2}">
      <text>
        <r>
          <rPr>
            <b/>
            <sz val="8"/>
            <color indexed="81"/>
            <rFont val="Tahoma"/>
            <family val="2"/>
          </rPr>
          <t xml:space="preserve">Default if blank - Designed
Designed - If the script has not yet been reviewed and approved
Reviewed - If the script has been reviewed
Approved -If the script has been reviewed and approved
</t>
        </r>
        <r>
          <rPr>
            <sz val="8"/>
            <color indexed="81"/>
            <rFont val="Tahoma"/>
            <family val="2"/>
          </rPr>
          <t xml:space="preserve">
</t>
        </r>
      </text>
    </comment>
    <comment ref="H1" authorId="1" shapeId="0" xr:uid="{BC2D7A82-A340-40A2-A987-2AA4975F2281}">
      <text>
        <r>
          <rPr>
            <sz val="8"/>
            <color indexed="81"/>
            <rFont val="Tahoma"/>
            <family val="2"/>
          </rPr>
          <t xml:space="preserve">Each step in a script will have a number. 
This will be a sequence starting with Step 1.
</t>
        </r>
      </text>
    </comment>
    <comment ref="K1" authorId="1" shapeId="0" xr:uid="{94A4E97E-6B0E-4DC6-A947-2E138DF762F8}">
      <text>
        <r>
          <rPr>
            <sz val="8"/>
            <color indexed="81"/>
            <rFont val="Tahoma"/>
            <family val="2"/>
          </rPr>
          <t>Enter the description or the specific action that needs to be performed for each step.</t>
        </r>
      </text>
    </comment>
    <comment ref="L1" authorId="0" shapeId="0" xr:uid="{69052339-63D5-4B92-979E-AC76901061F6}">
      <text>
        <r>
          <rPr>
            <sz val="8"/>
            <color indexed="81"/>
            <rFont val="Tahoma"/>
            <family val="2"/>
          </rPr>
          <t>When loading test script 
to Quality Center for execution, leave this field blank</t>
        </r>
      </text>
    </comment>
  </commentList>
</comments>
</file>

<file path=xl/sharedStrings.xml><?xml version="1.0" encoding="utf-8"?>
<sst xmlns="http://schemas.openxmlformats.org/spreadsheetml/2006/main" count="3510" uniqueCount="836">
  <si>
    <t>Application/Component
Name</t>
  </si>
  <si>
    <t>E2E Featrure # (Test Execution)</t>
  </si>
  <si>
    <t>Domain Feature #</t>
  </si>
  <si>
    <t>State</t>
  </si>
  <si>
    <t>Product</t>
  </si>
  <si>
    <t>Test Case Status</t>
  </si>
  <si>
    <t>Owner</t>
  </si>
  <si>
    <t>S.NO# / TC#</t>
  </si>
  <si>
    <t>Journey</t>
  </si>
  <si>
    <t>User Experience</t>
  </si>
  <si>
    <t>Description/Expected Results</t>
  </si>
  <si>
    <t>Actual Results</t>
  </si>
  <si>
    <t>Prod Need by Date</t>
  </si>
  <si>
    <t>Pass/Fail</t>
  </si>
  <si>
    <t>Executed By</t>
  </si>
  <si>
    <t>Environment</t>
  </si>
  <si>
    <t>Data</t>
  </si>
  <si>
    <t>Rally Defect#</t>
  </si>
  <si>
    <t>Tester Comments</t>
  </si>
  <si>
    <t>Member Group and Member Enrollment-SAMX Fully Insured, Level Funded/Cirrus</t>
  </si>
  <si>
    <r>
      <rPr>
        <b/>
        <sz val="10"/>
        <color rgb="FF000000"/>
        <rFont val="Calibri"/>
        <family val="2"/>
        <scheme val="minor"/>
      </rPr>
      <t>Integrated Open
Enrollment Experience-</t>
    </r>
    <r>
      <rPr>
        <sz val="10"/>
        <color rgb="FF000000"/>
        <rFont val="Calibri"/>
        <family val="2"/>
        <scheme val="minor"/>
      </rPr>
      <t xml:space="preserve"> Working together to attract membership
and set Plan expectations. Members
must be active during enrollment select
PCP or a PCP will be assigned by UHC</t>
    </r>
  </si>
  <si>
    <t>As a Broker I should be successfully able to generate a Quote and Proposal for my Employer Group and be able to enroll member groups and members into Cirrus</t>
  </si>
  <si>
    <t>Pass</t>
  </si>
  <si>
    <t>TC1</t>
  </si>
  <si>
    <t>Member Group and Member Enrollment-OBM/Cirrus (Level Funded)</t>
  </si>
  <si>
    <t>OBM Member Group</t>
  </si>
  <si>
    <t>Create group through automation tool using Link Jenkins</t>
  </si>
  <si>
    <t>Same as expected</t>
  </si>
  <si>
    <t>TC2</t>
  </si>
  <si>
    <t>Update customer profile field based on CA state</t>
  </si>
  <si>
    <t>TC3</t>
  </si>
  <si>
    <t>Verify group is install successfully with HMO Products (HMO-Migrated from Nice) SIGNATUREVALUE Product</t>
  </si>
  <si>
    <t>TC4</t>
  </si>
  <si>
    <t>Verify group is install successfully with HMO Products (HMO-Migrated from Nice) cover all SIGNATUREVALUE_ALLIANCE product</t>
  </si>
  <si>
    <t>TC5</t>
  </si>
  <si>
    <t>Verify group is install successfully with HMO Products (HMO-Migrated from Nice) cover all SIGNATUREVALUE_HARMONY product</t>
  </si>
  <si>
    <t>TC6</t>
  </si>
  <si>
    <t xml:space="preserve">Verify group is install successfully with HMO Products (HMO-Migrated from Nice) cover all SIGNATUREVALUE_ADVANTAGE products </t>
  </si>
  <si>
    <t>TC7</t>
  </si>
  <si>
    <t>Verify group is install successfully with  HMO products+ PPO (Dual Options)</t>
  </si>
  <si>
    <t>TC8</t>
  </si>
  <si>
    <t>Verify group is install successfully with HMO Products +Dental+Vision</t>
  </si>
  <si>
    <t>TC9</t>
  </si>
  <si>
    <t>Verify group is install successfully with only HMO products+ PPO (Dual Options)+Dental+Vision</t>
  </si>
  <si>
    <t>TC12</t>
  </si>
  <si>
    <t>Update health products field based on your state (Plan name, BBOI, Network, Medical plan code, RX plan code)</t>
  </si>
  <si>
    <t>TC13</t>
  </si>
  <si>
    <t>Validate and Publish the group</t>
  </si>
  <si>
    <t>TC14</t>
  </si>
  <si>
    <t>Cirrus Validation  - Member Group</t>
  </si>
  <si>
    <t>Verify Cirrus for Member Group and Member load from OBM</t>
  </si>
  <si>
    <t>TC15</t>
  </si>
  <si>
    <t>Verfiy all members/ MG loaded successfully in Cirrus</t>
  </si>
  <si>
    <t>TC16</t>
  </si>
  <si>
    <t xml:space="preserve">Verfiy an error queue for any installation errors. </t>
  </si>
  <si>
    <t>TC17</t>
  </si>
  <si>
    <t>Verify all demographic  details loaded successfully in Cirrus for Member Group</t>
  </si>
  <si>
    <t>TC18</t>
  </si>
  <si>
    <t>Verify Bill group details are loaded successfully in Cirrus</t>
  </si>
  <si>
    <t>TC19</t>
  </si>
  <si>
    <t>Verify Member Group Contract Plan Option Plan Code" Hyperlink on the Plan Option UI</t>
  </si>
  <si>
    <t>TC20</t>
  </si>
  <si>
    <t>Verify Bill rates are loaded successfully in Cirrus</t>
  </si>
  <si>
    <t>TC22</t>
  </si>
  <si>
    <t>Verify Plan selected is loaded successfully in Cirrus</t>
  </si>
  <si>
    <t>TC23</t>
  </si>
  <si>
    <t>Verify for level funded if carrier/legal entity on the SL policy is assigned correctly   (Click here for LE)</t>
  </si>
  <si>
    <t>TC24</t>
  </si>
  <si>
    <t>Verify MG contract option has ID card hold in place</t>
  </si>
  <si>
    <t>TC25</t>
  </si>
  <si>
    <t>OBM Member</t>
  </si>
  <si>
    <t>Update mandatory field in Excel sheet (Employee SSN, Relationship Code, Medical Benefit Status Code, Last Name, First Name, SEX, Date of Birth, Address Type, Street Address, City, State, ZIP, Phone Type, Home_Phone, Hire Date, Employment Status Code, Employment Status Effective Date, Medical Coverage, Medical Benefit Bundle Option ID, Medical Bill Group ID, Benefit Status Code and Member Group ID)</t>
  </si>
  <si>
    <t>TC26</t>
  </si>
  <si>
    <t xml:space="preserve">Publish the excel sheet in USP member in OBM </t>
  </si>
  <si>
    <t>TC27</t>
  </si>
  <si>
    <t>CIP</t>
  </si>
  <si>
    <t>Validate member enrollment file can be submitted with NICE membership  via (CIP &gt; CMT &gt; Cirrus)</t>
  </si>
  <si>
    <t>Not Applicable</t>
  </si>
  <si>
    <t>TC28</t>
  </si>
  <si>
    <t>TC29</t>
  </si>
  <si>
    <t>TC30</t>
  </si>
  <si>
    <t>TC31</t>
  </si>
  <si>
    <t>TC32</t>
  </si>
  <si>
    <t>TC33</t>
  </si>
  <si>
    <t>TC34</t>
  </si>
  <si>
    <t>Verify we are able to see New Book of Business for NICE - UHC West</t>
  </si>
  <si>
    <t>TC35</t>
  </si>
  <si>
    <t>Verify legal entity is correctly setup - UHC of California</t>
  </si>
  <si>
    <t>TC36</t>
  </si>
  <si>
    <t>TC37</t>
  </si>
  <si>
    <t>TC38</t>
  </si>
  <si>
    <t>Cirrus Validation  - Membership</t>
  </si>
  <si>
    <t>Verify all demographic  details loaded successfully in Cirrus for all members</t>
  </si>
  <si>
    <t>TC39</t>
  </si>
  <si>
    <t xml:space="preserve">Verify contact details loaded successfully in Cirrus for all members </t>
  </si>
  <si>
    <t>TC40</t>
  </si>
  <si>
    <t xml:space="preserve">Verify member billing information loaded successfully in subsaffiliation page in Cirrus for all members </t>
  </si>
  <si>
    <t>TC41</t>
  </si>
  <si>
    <t>Verify member CLC is calculated correctly</t>
  </si>
  <si>
    <t>TC42</t>
  </si>
  <si>
    <t>Verify we are able to see Benefit Plan Status (Active, COBRA, Surviving)</t>
  </si>
  <si>
    <t>TC43</t>
  </si>
  <si>
    <t>Verify Member Employment Status (Active, Retired, Full Time, Part Time)</t>
  </si>
  <si>
    <t>TC44</t>
  </si>
  <si>
    <t>Validate Coordination of Benefits for members</t>
  </si>
  <si>
    <t>TC45</t>
  </si>
  <si>
    <t>Verify all members benefit data loaded correctly in Benefit Plan page</t>
  </si>
  <si>
    <t>TC46</t>
  </si>
  <si>
    <r>
      <t xml:space="preserve">Verify member can be enrolled into </t>
    </r>
    <r>
      <rPr>
        <b/>
        <sz val="10"/>
        <rFont val="Arial"/>
        <family val="2"/>
      </rPr>
      <t>COBRA</t>
    </r>
  </si>
  <si>
    <t>TC47</t>
  </si>
  <si>
    <t>Member group Install - DSS (for manual installation)</t>
  </si>
  <si>
    <t>Verify Cirrus for Member Group and Member load through DSS</t>
  </si>
  <si>
    <t>TC48</t>
  </si>
  <si>
    <t>TC49</t>
  </si>
  <si>
    <t>TC50</t>
  </si>
  <si>
    <t>TC51</t>
  </si>
  <si>
    <t>TC52</t>
  </si>
  <si>
    <t>TC53</t>
  </si>
  <si>
    <t>Verify benefit bundle match for Level 2 product is applicable to Key Accounts in different situs states (ex: Louisiana &amp; Florida)</t>
  </si>
  <si>
    <t>TC54</t>
  </si>
  <si>
    <t>TC55</t>
  </si>
  <si>
    <t>TC56</t>
  </si>
  <si>
    <t>TC57</t>
  </si>
  <si>
    <t>TC58</t>
  </si>
  <si>
    <t>TC59</t>
  </si>
  <si>
    <t>TC60</t>
  </si>
  <si>
    <t>TC61</t>
  </si>
  <si>
    <t>TC62</t>
  </si>
  <si>
    <t>Verify members can be enrolled in groups by loading them directly into Cirrus via Proprietary X tool, EDI or JSON</t>
  </si>
  <si>
    <t>TC63</t>
  </si>
  <si>
    <t>TC64</t>
  </si>
  <si>
    <t>TC65</t>
  </si>
  <si>
    <t>TC66</t>
  </si>
  <si>
    <t>TC67</t>
  </si>
  <si>
    <t>Id Card Trigger               Member-&gt; Benefit Plan-&gt; Id Card.</t>
  </si>
  <si>
    <t>Cirrus UI id card trigger and validation</t>
  </si>
  <si>
    <t>Verify if you are able to trigger the ID Cards.</t>
  </si>
  <si>
    <t>Verify after requesting the Id Card member's fulfulment request status is successful or not in Cirrus fulfillment request search option. Member-&gt; More Member-&gt; Fulfilment request scearch.</t>
  </si>
  <si>
    <t>Fulfillment</t>
  </si>
  <si>
    <r>
      <rPr>
        <b/>
        <sz val="10"/>
        <color rgb="FF000000"/>
        <rFont val="Calibri"/>
        <family val="2"/>
        <scheme val="minor"/>
      </rPr>
      <t xml:space="preserve">Integrated Open
Enrollment Experience
</t>
    </r>
    <r>
      <rPr>
        <sz val="10"/>
        <color rgb="FF000000"/>
        <rFont val="Calibri"/>
        <family val="2"/>
        <scheme val="minor"/>
      </rPr>
      <t>Working together to attract membership and set
Plan expectations. Coordinated approach to
onboarding. Members must be active during
enrollment select PCP or a PCP will be assigned by
UHC</t>
    </r>
  </si>
  <si>
    <t>As a member I am able to receive my health insurance ID card and other fulfillment material</t>
  </si>
  <si>
    <t>Verify ID Cards are triggered from Cirrus as per the scheduled date</t>
  </si>
  <si>
    <t>Verify ID cards PDFs are generated in Fiserv as expected with requirements.</t>
  </si>
  <si>
    <t>Verify PCP name is printed on ID card for individual provider &lt;as applicable&gt;</t>
  </si>
  <si>
    <t>Verify Provider group name  is printed on ID card when PCP is a medical group. &lt;as applicable&gt;</t>
  </si>
  <si>
    <t>Verify ACO name  is printed on ID card when PCP is from the ACO roster &lt;as applicable&gt;</t>
  </si>
  <si>
    <t>Verify product name, legal entity and logo are displayed on the ID card as expected</t>
  </si>
  <si>
    <t>Verify Benefits - Benefit Plan - Accumulators - Benefit Deductibles - Deductible Periods are displayed on the ID card as expected</t>
  </si>
  <si>
    <t>TC10</t>
  </si>
  <si>
    <t>Verify member's first name, middle name, last name and suffix are displayed on Id Card.</t>
  </si>
  <si>
    <t>TC11</t>
  </si>
  <si>
    <t>Verify member's external id and benefit plan group id matches with Cirrus and displayed.</t>
  </si>
  <si>
    <t>Verify Member's benefit plan name is printed in the Id Card as expected</t>
  </si>
  <si>
    <t>Verify rx effective date and member's benefit plan payer id is display.</t>
  </si>
  <si>
    <t>Verify member's fulfilment product name with network scheduled display</t>
  </si>
  <si>
    <t>Verify Copays printed on ID card are correct per the benefit plan</t>
  </si>
  <si>
    <t>Verify Ded/OOP values printed on ID card are correct per the benefit plan</t>
  </si>
  <si>
    <t>Verify plan type and department of insurance code is display on Id card.</t>
  </si>
  <si>
    <t>Verify web address is printed on back side of Id Card.</t>
  </si>
  <si>
    <t>Verify Phone number and Provider's phone number are printed on Back side of the Id Card.</t>
  </si>
  <si>
    <t>Verify member's Claim address and provider's phone number is printed on the back side of the Id Card.</t>
  </si>
  <si>
    <t>TC21</t>
  </si>
  <si>
    <t>Verify member's prefered diagnostic/ Member's OON coverage logo display on the back side of Id Card &lt;as applicable&gt;</t>
  </si>
  <si>
    <t>Verify member's Rx phone and Rx address printed on the backside of the Id Card. &lt;as applicable&gt;</t>
  </si>
  <si>
    <t>Verify State/Product Specific unique requirements are met</t>
  </si>
  <si>
    <t>Verify PCP letters are triggered from Cirrus when a new PCP is assigned or updated</t>
  </si>
  <si>
    <t>Validate that Business approval is obtained for ID CARD</t>
  </si>
  <si>
    <t>In Progress</t>
  </si>
  <si>
    <t>Plan Documents</t>
  </si>
  <si>
    <t>Verify once group is installed sucessfully, events should be created automatlically</t>
  </si>
  <si>
    <t>verify if the events are triggerd sucussfully and its in Complete staus in Cirrus</t>
  </si>
  <si>
    <t>Verify events are in Archive status in DB once COM360 is done processing</t>
  </si>
  <si>
    <t xml:space="preserve">Verify other fulfillment materials (COC, SBC) &lt;as applicable&gt; </t>
  </si>
  <si>
    <t xml:space="preserve">Verify other NODA transaction is completed successfully and content is correct &lt;as needed and applicable&gt; </t>
  </si>
  <si>
    <t>Verify benefit language &lt;as applicable&gt; in B360 (for fully insured)</t>
  </si>
  <si>
    <t xml:space="preserve">Verify benefit language in B360 vs benefit language in Cirrus </t>
  </si>
  <si>
    <t>BEACH</t>
  </si>
  <si>
    <t>Verify benefit language in BEACH application</t>
  </si>
  <si>
    <t xml:space="preserve">Verify Coverage Inforamtion in BEACH </t>
  </si>
  <si>
    <t>Verify we are able to pull plan documents from Coerage or Costs Tab.</t>
  </si>
  <si>
    <t>Non-Finance Downstream Extracts/Streaming</t>
  </si>
  <si>
    <t>TC68</t>
  </si>
  <si>
    <t>Optum Bank</t>
  </si>
  <si>
    <t>Verfiy HSA vendor ID is populated on mem group contract plan option screen</t>
  </si>
  <si>
    <t>TC69</t>
  </si>
  <si>
    <t>Verify if you are able to add Signature date on affiliation screen of members(New Business)</t>
  </si>
  <si>
    <t>TC70</t>
  </si>
  <si>
    <t>Verify if Banking Extract is getting generated</t>
  </si>
  <si>
    <t>TC71</t>
  </si>
  <si>
    <t>Verify If Member group &amp; Member Data is present in extract</t>
  </si>
  <si>
    <t>TC72</t>
  </si>
  <si>
    <t>Verify if B2B is able to consume membership file and is able to translate the file</t>
  </si>
  <si>
    <t>TC73</t>
  </si>
  <si>
    <t>Verfiy OptumBank is able to consume Member group and member data via the extract for Member group and members enrolled in HSA plans</t>
  </si>
  <si>
    <t>TC74</t>
  </si>
  <si>
    <t>Examine the load report sent by Optum Bank to verify that all the memebrs and member groups have been corretly loaded.</t>
  </si>
  <si>
    <t>TC75</t>
  </si>
  <si>
    <t>Optum Rx</t>
  </si>
  <si>
    <t>Verfiy OptumRX is able to consume Member group  and membership data via Nimbus stream</t>
  </si>
  <si>
    <t>TC76</t>
  </si>
  <si>
    <t>Verify if the eligebility information effective date is same as member group contract effective date in Optum Rx UI.</t>
  </si>
  <si>
    <t>TC77</t>
  </si>
  <si>
    <t>Verify if Member group data is correctly available in OptumRx Portal(Demographics/DOB/MG name etc)</t>
  </si>
  <si>
    <t>TC78</t>
  </si>
  <si>
    <t>Verify if Client code is available in optum RX portal</t>
  </si>
  <si>
    <t>TC79</t>
  </si>
  <si>
    <t xml:space="preserve">Verify if all members are loaded in Optum Rx UI </t>
  </si>
  <si>
    <t>TC80</t>
  </si>
  <si>
    <t>Verify if demegraphics details are present in the Optum Rx UI</t>
  </si>
  <si>
    <t>TC81</t>
  </si>
  <si>
    <t>Dental</t>
  </si>
  <si>
    <t>Verfiy Dental is able to consume Member group and Membership data via Nimbus stream</t>
  </si>
  <si>
    <t>TC82</t>
  </si>
  <si>
    <t>Vision</t>
  </si>
  <si>
    <t>Verfiy Vision is able to consume Member group and Membership data via Nimbus stream</t>
  </si>
  <si>
    <t>TC83</t>
  </si>
  <si>
    <t>PHAccent</t>
  </si>
  <si>
    <t>Verify if Extract is getting generated for the MG which has benefit plan with Plan Category 1 as attribute</t>
  </si>
  <si>
    <t>TC84</t>
  </si>
  <si>
    <t>Verify if MG &amp; member available in extract</t>
  </si>
  <si>
    <t>TC85</t>
  </si>
  <si>
    <t>Verify if Bundle option is available in benefit plan summary extract</t>
  </si>
  <si>
    <t>TC86</t>
  </si>
  <si>
    <t>Verfiy PH Accent is able to consume Member group and Membership data via extract</t>
  </si>
  <si>
    <t>TC87</t>
  </si>
  <si>
    <t>Examine the loadreport sent by PHAccent to verify that all the memebrs and member groups have been corretly loaded.</t>
  </si>
  <si>
    <t>TC88</t>
  </si>
  <si>
    <t>BOSS</t>
  </si>
  <si>
    <t>Verfiy BOSS is able to consume Member group data from Data Lake via Digicom</t>
  </si>
  <si>
    <t>TC89</t>
  </si>
  <si>
    <t>Examine the loadreport sent by BOSS to verify that all the memebrs and member groups have been corretly loaded.</t>
  </si>
  <si>
    <t>TC90</t>
  </si>
  <si>
    <t>TC91</t>
  </si>
  <si>
    <t>TC92</t>
  </si>
  <si>
    <t>Billing</t>
  </si>
  <si>
    <t xml:space="preserve">As an Employer group  I should be able to View my Bill
</t>
  </si>
  <si>
    <t>Verify if membership eligiblity is streamed through Nimbus to BRMS</t>
  </si>
  <si>
    <t>Verfiy FTS is able to consume PCMT</t>
  </si>
  <si>
    <t xml:space="preserve">Verify if we can see Member groups in Invoices </t>
  </si>
  <si>
    <t xml:space="preserve">Verify if can see Members in Invoices </t>
  </si>
  <si>
    <t xml:space="preserve">Verify if based on the billing schedule on our group Billing calculation is correct. </t>
  </si>
  <si>
    <t xml:space="preserve">Verify if we can see our invoices in B&amp;E portal </t>
  </si>
  <si>
    <t>Commission</t>
  </si>
  <si>
    <t xml:space="preserve">As a Broker  I should be able to View my Commission
</t>
  </si>
  <si>
    <r>
      <t xml:space="preserve">Verfiy </t>
    </r>
    <r>
      <rPr>
        <sz val="10"/>
        <rFont val="Calibri"/>
        <family val="2"/>
        <scheme val="minor"/>
      </rPr>
      <t>BASICS able to consume data sent by BRMS &amp; Cirrus</t>
    </r>
  </si>
  <si>
    <t>Verify if we can see all our Member groups in commission statements.</t>
  </si>
  <si>
    <t xml:space="preserve">Verify if our Producer / sales agent name is matching with Commission statements. </t>
  </si>
  <si>
    <t>Verify if compensation type is service Fee or commission 
for Service fee we should see PEPM in statement as rate should be fixed based on the no. of employes 
for Commission there should be some percent of premium paid in to no. of employes in the group.</t>
  </si>
  <si>
    <t>Verify if we can see Commissions for all products which we have in our groups.</t>
  </si>
  <si>
    <t>Member Group and Member Maintenance</t>
  </si>
  <si>
    <t>Designed</t>
  </si>
  <si>
    <r>
      <rPr>
        <b/>
        <sz val="10"/>
        <color rgb="FF000000"/>
        <rFont val="Calibri"/>
        <family val="2"/>
        <scheme val="minor"/>
      </rPr>
      <t>Integrated Open
Enrollment Experience-</t>
    </r>
    <r>
      <rPr>
        <sz val="10"/>
        <color rgb="FF000000"/>
        <rFont val="Calibri"/>
        <family val="2"/>
        <scheme val="minor"/>
      </rPr>
      <t xml:space="preserve"> Working together to attract membership
and set Plan expectations. </t>
    </r>
  </si>
  <si>
    <t>I should be successfully able to update member group and members in Cirrus</t>
  </si>
  <si>
    <t>Verify if we are able to Term a Member Group</t>
  </si>
  <si>
    <t>Verify if we are able to Cancel a Member Group</t>
  </si>
  <si>
    <t>Verify if we are able to Reinstate a Member Group</t>
  </si>
  <si>
    <t>Verify if we are able to update Member Group- Demographics, plan information</t>
  </si>
  <si>
    <t>Verify if we are able to retro term a Member Group</t>
  </si>
  <si>
    <t>MG: 3017649</t>
  </si>
  <si>
    <t>Verify if we are able to retro reinstate a Member Group</t>
  </si>
  <si>
    <t>DE1262623</t>
  </si>
  <si>
    <t>MG: 3017649 / Failing on Member SCID: 32334628900 / Member Group:5431025</t>
  </si>
  <si>
    <t>Verify if we are able to retro change a plan to Member Group</t>
  </si>
  <si>
    <t>Verify if we are able to add a dependent</t>
  </si>
  <si>
    <t>Verify if we are able to term a Member</t>
  </si>
  <si>
    <t>Verify if we are able to reinstate a Member</t>
  </si>
  <si>
    <t>Verify if we are able to move Member to COBRA</t>
  </si>
  <si>
    <t>Fail</t>
  </si>
  <si>
    <t>DE1262631</t>
  </si>
  <si>
    <t>Closed/Completed - Incorrect Termination Status in BnE</t>
  </si>
  <si>
    <t>Verify if we are able to update Member demographics</t>
  </si>
  <si>
    <t>Verify if we are able to retro add Member with dependent</t>
  </si>
  <si>
    <t xml:space="preserve">Verify if we are able to retro term a Member </t>
  </si>
  <si>
    <t>Verify if we are able to retro reinstate a Member</t>
  </si>
  <si>
    <t xml:space="preserve">Verify if we are able to retro change a plan to Member </t>
  </si>
  <si>
    <t>Broker &amp; Employer Portal</t>
  </si>
  <si>
    <t xml:space="preserve">As an Employer group  I should be able to add, change and update my employee information -- B&amp;E
</t>
  </si>
  <si>
    <t xml:space="preserve">Verify Employer group is able to login to B&amp;E Portal/ UHCeServices.com </t>
  </si>
  <si>
    <t>Verify Employer group should be able to enroll members</t>
  </si>
  <si>
    <t>Verify as a Employer group I should be able to see my group's information-Demographics and plans</t>
  </si>
  <si>
    <t>Verify as a Employer group I should be able to see my billing information</t>
  </si>
  <si>
    <t>Verify as a Broker I should be able to see my commission statement</t>
  </si>
  <si>
    <t>BRMS In Progress</t>
  </si>
  <si>
    <t>Verify as a Employer group I should be able to see my COC</t>
  </si>
  <si>
    <t>Verify as a Employer group I should be able to see my subscriber and member list</t>
  </si>
  <si>
    <t>Verify as a Employer group I should be able to see my employee information</t>
  </si>
  <si>
    <t>Verify we are able to search PCP for Products requring PCP</t>
  </si>
  <si>
    <t>Verify if we are able to add a Member with COBRA</t>
  </si>
  <si>
    <t>Verify if we are able to Add Member PCP</t>
  </si>
  <si>
    <t>Verify if the Ability for NICE Groups to  view, Plan Rates , view Benefits &amp; Plan Information</t>
  </si>
  <si>
    <t>Verify if the Ability for NICE Groups to  EDI reports, MLR Reports, CER reports, Banking Reports etc Enhance the group search functions to display old and new contract effective dates</t>
  </si>
  <si>
    <t xml:space="preserve">PCP Validation : Existing Patient Indicator, PCP Cirrus rules for auto assigning ,PCP, billing Group Plan Info on view Group Page, Provider Error messaging., Disable Add Additional provider button </t>
  </si>
  <si>
    <t xml:space="preserve">Verify we are able to view  member ID cards </t>
  </si>
  <si>
    <t>No Run</t>
  </si>
  <si>
    <t>Config is not ready for ID Card</t>
  </si>
  <si>
    <t>Validate in Reason for Enrollment section there will be 3 Different Cobra - Cobra18, cobra29, cobra36</t>
  </si>
  <si>
    <t>Per Kim, As these are not requirements for the NICE Migration, we are not asking for user testing for them.</t>
  </si>
  <si>
    <t>Validate in gender enrollment demographics has gender option Unknown not Non-binary</t>
  </si>
  <si>
    <t>Validate in Qualifying Event and Requested Effective Date user can enroll 90 days past, out of this range they will see an error and cannot proceed with enrollment.</t>
  </si>
  <si>
    <t>Not applicable for 90 days past.</t>
  </si>
  <si>
    <t>Validate in Qualifying Event and Requested Effective Date user can enroll  60 days in future, out of this range they will see an error and cannot proceed with enrollment.</t>
  </si>
  <si>
    <t>Validate in Subscriber Information Enrollment Demographics should have Subscriber Type (Employee/Retiree) ,Marital Status (Married/Single).</t>
  </si>
  <si>
    <t>Validate In Contact Information Enrollment Demographics should have COB field (Coordination of Benefits Yes/No)</t>
  </si>
  <si>
    <t>NICE does not have the option Select Reason SSN not provided, and SSN dup check validation exists for NICE, will have to find out if Cirrus adopt this SSN validation?</t>
  </si>
  <si>
    <t xml:space="preserve">Validate for Enrollment Dependent newly added field are available </t>
  </si>
  <si>
    <t>ACET</t>
  </si>
  <si>
    <t>NICE</t>
  </si>
  <si>
    <t>CA</t>
  </si>
  <si>
    <t>ACET Member Flow (DashBoard)</t>
  </si>
  <si>
    <t>As a agent we are able to view member details in ACET</t>
  </si>
  <si>
    <t>As a agent we are able to view - Benefit Information in ACET</t>
  </si>
  <si>
    <t>As a agent we are able to create and send letters specific to CA HMO (NICE) business to Member</t>
  </si>
  <si>
    <t>As a agent we are able to create a case and Rout toplan benefits</t>
  </si>
  <si>
    <t>As a agent we are able to view the member's claim and As a member payment details (Member resp / Prov resp / Total Billed etc)</t>
  </si>
  <si>
    <t>As a agent we are able to Able to launch AVA in order to research the member's plan benefits</t>
  </si>
  <si>
    <t>As an agent, I can view a member's medical coverage effective and end dates based on the medical plan they are enrolled in</t>
  </si>
  <si>
    <t>As an agent, I can verify a member's medical coverage details and verify the data matches in cirrus</t>
  </si>
  <si>
    <t>As an agent, I can view the carrier of the member's plans in a yellow banner located on the top of the member details page</t>
  </si>
  <si>
    <t>As an agent, If a member is enrolled in Speciality Plans, I can validate speciality coverage in a separate tab on the members detail page (Ex: Dental/Vision)</t>
  </si>
  <si>
    <t>As an agent, I can view ancillary product offerings available to the member I am servicing (Ex Service Plans: Advocate4me, HealthiestYou, RallyHealth Wellness Program) (Ex: Utilization Plans: Behaviroal Health Sanvello etc.)</t>
  </si>
  <si>
    <t>As an agent, I have the ability to view a PCP assigned to the member and update upon request</t>
  </si>
  <si>
    <t>As an agent, I have the ability to view a member's spending account including total claims via INN / OON represented by a graph</t>
  </si>
  <si>
    <t>As an agent, I have the ability to search/view documents issued to the member (SBC, COC, EOB etc.)</t>
  </si>
  <si>
    <t>Communications</t>
  </si>
  <si>
    <t>As an agent, if a member has health coverage with another carrier then it should be displayed against member name under commercial/govt</t>
  </si>
  <si>
    <t>Coordination of Benefits</t>
  </si>
  <si>
    <t>As an agent, I am able to view a member's current employer and the contract option of that group including coverage effective/end date</t>
  </si>
  <si>
    <t>Group Eligibility</t>
  </si>
  <si>
    <t>As an agent, I have the ability to access details for a member's plan (Medical Plan ID, Effective date, End Date, etc.)</t>
  </si>
  <si>
    <t>Plan Benefits</t>
  </si>
  <si>
    <t>As an agent, I have the ability to view the plan attributes offered in the member's plan (ex: UHPD)</t>
  </si>
  <si>
    <t>As an agent, when selecting on the member's plan, I will be able to view the member's accumulators (Ded / OOP for Ind &amp; family) offered in their plan</t>
  </si>
  <si>
    <t>As an agent, when accessing a member's benefit plan details page, I am able to select a benefit code for that member and view language for Tier 1, In-Network, Out-Of-Network services</t>
  </si>
  <si>
    <t>As an agent, when servicing a member on NICE plan I am able to view a member's benefits (Tier 1, In-Network, Out-of-Network)through an integrated experience of B360.</t>
  </si>
  <si>
    <t>Provider Lookup</t>
  </si>
  <si>
    <t>As an agent, I have the ability to perform a provider lookup with the member's eligibility in focus. I can apply an filter based on the product design to search for a provider covered in the member's plan (Ex: Tiered provider, OXPLN, DDP etc.)</t>
  </si>
  <si>
    <t>View Claims</t>
  </si>
  <si>
    <t>As an agent, I have the ability to view the member's claim and validate payment details (Member resp / Prov resp / Total Billed etc)</t>
  </si>
  <si>
    <t>ID card request</t>
  </si>
  <si>
    <t>As an agent, I have the ability to submit an ID card request for member</t>
  </si>
  <si>
    <t>View Authorization</t>
  </si>
  <si>
    <t>As an agent, I have the ability to viewe a prior authorization submitted for the member I am servicing</t>
  </si>
  <si>
    <t>As an agent, I have the ability to create an authorization for the member I am servicing when selecting the URL that will perform a SSO to ICUE</t>
  </si>
  <si>
    <t>Deferred</t>
  </si>
  <si>
    <t>View PCP referral</t>
  </si>
  <si>
    <t>As an agent servicing a member on a gated plan, I should be able to view any referral submitted for that member.</t>
  </si>
  <si>
    <t>View member listing</t>
  </si>
  <si>
    <t>As an agent, I am able to view members enrolled in a group in cirrus should also be displayed in ACET correctly</t>
  </si>
  <si>
    <t>ACET BEO (Group Eligibility)</t>
  </si>
  <si>
    <t>As a agent, we are able to view Group Contract option version and cross As a member in ACET</t>
  </si>
  <si>
    <t>Group Plan</t>
  </si>
  <si>
    <t>As a agent, plans offered to a group including eff/exp dates from cirrus in ACET</t>
  </si>
  <si>
    <t>As a agent, members enrolled in a group in cirrus should also be displayed in ACET correctly</t>
  </si>
  <si>
    <t>As a agent,, I am able to view all claims and filter by Date of Service as part of my search</t>
  </si>
  <si>
    <t>ACET - Spire</t>
  </si>
  <si>
    <t>Dashboard (Provider Details)</t>
  </si>
  <si>
    <t>Search providers</t>
  </si>
  <si>
    <t>As an agent, I have the ability to search providers with the help of filters and verify details of a particular provider in cirrus.</t>
  </si>
  <si>
    <t>Jawahar</t>
  </si>
  <si>
    <t>Active Affiliations</t>
  </si>
  <si>
    <t>As an agent, I have the ability to view Provider speciality, affiliation and effective date from Cirrus (Speciality is under Taxonomy tab in cirrus)</t>
  </si>
  <si>
    <t>Contracts</t>
  </si>
  <si>
    <t>As an agent, I have the ability to view contract details for a provider (ex: Network id, pricing set)</t>
  </si>
  <si>
    <t>View Member Eligibility</t>
  </si>
  <si>
    <t>Member Snapshot</t>
  </si>
  <si>
    <t>As an agent , I have the ability to verify Household ,member Details, Policy Details, PCP History</t>
  </si>
  <si>
    <t>View Member Eligibility/View Claims</t>
  </si>
  <si>
    <t>Member Snapshot/Claim Detail</t>
  </si>
  <si>
    <t>As an agent , I have the ability to verify COB</t>
  </si>
  <si>
    <t>PA check (Provider and Member Information)</t>
  </si>
  <si>
    <t>As an agent , I have ability to check member and provider information .</t>
  </si>
  <si>
    <t>PA check (Create Auth)</t>
  </si>
  <si>
    <t>As an agent, I have the ability to Create Auth in Spire successfully</t>
  </si>
  <si>
    <t>Auth Verification (Cirrus and icue)</t>
  </si>
  <si>
    <t>Verify if auth is reflecting in cirrus and ICUE</t>
  </si>
  <si>
    <t>Authorization Results</t>
  </si>
  <si>
    <t>As an agent, I have the ability to view the auth in Spire.</t>
  </si>
  <si>
    <t>Known Issue - Some time this is not visible due to  Environment connectivity issue.</t>
  </si>
  <si>
    <t>Authorization Status</t>
  </si>
  <si>
    <t>As an agent , I have the ability to verify auth if all required information is showing in auth.</t>
  </si>
  <si>
    <t>Create Referral</t>
  </si>
  <si>
    <t>As an agent, I have the ability to Create Referral in spire</t>
  </si>
  <si>
    <t>Referral Results</t>
  </si>
  <si>
    <t>As an agent, I am able to verify referral in spire</t>
  </si>
  <si>
    <t>Benefit Accumulations (Therapy &amp; Non Therapy)</t>
  </si>
  <si>
    <t>As an agent , I have the ability to verify benefit accumulations (Therapy , Dental, vision, DME etc)</t>
  </si>
  <si>
    <t>Benefit Details</t>
  </si>
  <si>
    <r>
      <t>As an agent , I have the ability to verify benefit details (</t>
    </r>
    <r>
      <rPr>
        <b/>
        <sz val="11"/>
        <color theme="1"/>
        <rFont val="Calibri"/>
        <family val="2"/>
        <scheme val="minor"/>
      </rPr>
      <t xml:space="preserve">Benefit Language </t>
    </r>
    <r>
      <rPr>
        <sz val="11"/>
        <color theme="1"/>
        <rFont val="Calibri"/>
        <family val="2"/>
        <scheme val="minor"/>
      </rPr>
      <t>, INN/OON Coverage and Benefit Category/Description/Cost Share)</t>
    </r>
  </si>
  <si>
    <t>Known Issue - Benefit Language not Visible - Some time this is not visible due to  Environment connectivity issue.</t>
  </si>
  <si>
    <t>Financials</t>
  </si>
  <si>
    <t>As an agent , I have the ability to verify Verify members responsibility met ( Cost share INN , OON and Tier1)</t>
  </si>
  <si>
    <t>Claim Results</t>
  </si>
  <si>
    <t>As an agent , I have the ability to verify claim in spire</t>
  </si>
  <si>
    <t>View Appeals</t>
  </si>
  <si>
    <t>Appeal Results</t>
  </si>
  <si>
    <t>As an agent , I have the ability to verify appeals submitted.</t>
  </si>
  <si>
    <t>View Payments(Member Snapshot/Provider Snapshot)</t>
  </si>
  <si>
    <t>Payment Results</t>
  </si>
  <si>
    <t>As an agent , I have the ability to verify payments for both member and provider topics.</t>
  </si>
  <si>
    <t>Known Issue - Claims in Alpha are always showing payment in waiting cycle. EOB PRA are never generared. So this is not possible in Alpha. EOB PRAs are generated in Master only and Spire is not have connectivity with Master.</t>
  </si>
  <si>
    <t>Provider Lookup(Member Snapshot)</t>
  </si>
  <si>
    <t>Provider search</t>
  </si>
  <si>
    <t>As an agent , I have the ability to serach provider in spire</t>
  </si>
  <si>
    <t>Provider Results</t>
  </si>
  <si>
    <t>Verify if we are able to see providers results after search</t>
  </si>
  <si>
    <t>Provider Lookup(Provider Snapshot)</t>
  </si>
  <si>
    <t>Provider Details</t>
  </si>
  <si>
    <t>As an agent I have the ability to verify details of searched provider.</t>
  </si>
  <si>
    <t>myUHC</t>
  </si>
  <si>
    <t>Dashboard</t>
  </si>
  <si>
    <t>As a member we are able to Register a member in MyUHC</t>
  </si>
  <si>
    <t>As a member on a gated plan, I have the ability to view any referrals submitted by my PCP</t>
  </si>
  <si>
    <t>As a member on gated plan, I have the ability to view/add/update my PCP on the dashboard when logging into myuhc</t>
  </si>
  <si>
    <t>As a member, on a Non-Gated Plan, although I do not require PCP, I have the ability to add/update a PCP on the dashboard when logging into myuhc</t>
  </si>
  <si>
    <t>As a member, I have the ability to view my Individual/Family Deductible &amp; OOP Max accumulators on the dashboard when logging into myuhc</t>
  </si>
  <si>
    <t>As a member, I have the ability to view recently submitted claims on the dashboard when logging into myuhc</t>
  </si>
  <si>
    <t>As a member, I have the ability to view my ID Card Modal window based on the coverage I am enrolled in (Medical, Dental, Vision)</t>
  </si>
  <si>
    <t>"Find Price &amp; Care" page</t>
  </si>
  <si>
    <t>As a member member can view/update pcp selection on find care page</t>
  </si>
  <si>
    <t>As a member pcp assignment intial assigmnet and update can be done in MYUHC</t>
  </si>
  <si>
    <t>As a member , I have the ability to view INN primary care providers offered in my plan by selecting Primary Care Physicians</t>
  </si>
  <si>
    <t>As a member on a gated plan, any providers that require a referral will display an alerting me that a referral is required.</t>
  </si>
  <si>
    <t>As a member, I have the ability to search by speciality type and view INN providers that cover services for the speciality selected (Example: Cardiologist)</t>
  </si>
  <si>
    <t>As a member on plan w/ tiering applicable to (PCP/Specialists), providers designated as Tier 1 will display with an icon on the top of the page when accessing an authenticated experience of the directory</t>
  </si>
  <si>
    <t>As a member, I have the ability to select an INN provider and receive a cost estimate based on my benefits for the service covered.</t>
  </si>
  <si>
    <t>As a member on a Level Funded plan, I have the ability to Access to Healthiest You when selecting Virtual Care</t>
  </si>
  <si>
    <t>As a member, I have the ability to view behavioral health providers in my network (Ex: Psychiatrist, Psychologists, etc.)</t>
  </si>
  <si>
    <t>As a member with Vision coverage, I have the ability to find Optometrists covered in my network.</t>
  </si>
  <si>
    <t>As a member with Dental Coverage, I have the ability to find any Dentistcovered in my network</t>
  </si>
  <si>
    <t>Coverage &amp; Benefits Page</t>
  </si>
  <si>
    <t>As a member Member can view benefits and coverage on coverage &amp; benefits page</t>
  </si>
  <si>
    <t>As a member, I am able to view view copays for major level services covered in my plan (PCP, Specialist, ER Visit, Virtual Visit, Urgent Care Visit)</t>
  </si>
  <si>
    <t>As a member, when selecting view all medical coverage I can view INN &amp; OON benefit language for benefits included in my plan (Ex:Diabetic Services, Behavioral Health Outpatient – Physicians Office, Hearing Aids)</t>
  </si>
  <si>
    <t>As a member, I am able to view Mental Health Common Services offered in my plan</t>
  </si>
  <si>
    <t>As a member on a UHC fully Insured plan, I am able to access Mental Health Hub to view information on mental health programs offered in my plan (Ex: AbleTo, Sanvello Program)</t>
  </si>
  <si>
    <t>As a member, If I am enrolled in an ancillary dental plan, I am able to view my Plan Details &amp; Common Dental Services covered in plan</t>
  </si>
  <si>
    <t>As a member, if I am enrolled in a plan with embedded dental coverage, I will be able to view my plan details in the Dental Section</t>
  </si>
  <si>
    <t>As a member, if I am enrolled in an ancillary vision plan, I have the ability to SSO to the vision portal to view plan details &amp; services covered in my plan</t>
  </si>
  <si>
    <t>Validate Edit PCP options and navigation.</t>
  </si>
  <si>
    <t>As a member, I have the ability to view documents and forms issued to me based on my coverage (Ex: IRS Tax forms, SBC, COC,SPD) for the plans that I am enrolled in</t>
  </si>
  <si>
    <t>Claims &amp; Account</t>
  </si>
  <si>
    <t>As a member member can submit a claim from claim&amp;account page</t>
  </si>
  <si>
    <t>As a member that the User Experience for "NI" BoB should mirror "UH" BoB member experience on USP</t>
  </si>
  <si>
    <t>As a member that member can navigate to Claim &amp; Account page and view payment details based on service provided (Ex: Total Amount, Plan Paid, Member Responsibility)</t>
  </si>
  <si>
    <t>As a member that member can navigate to Claim &amp; Account page and view explanation of benefits for the services incurred.</t>
  </si>
  <si>
    <t>require EOB</t>
  </si>
  <si>
    <t>As a member, I am able to view all claims and filter by Date of Service as part of my search</t>
  </si>
  <si>
    <t>As a member, when selecting a Claim, I am able to view payment details based on service provided (Ex: Total Amount, Plan Paid, Member Responsibility)</t>
  </si>
  <si>
    <t>As a member, I have the ability to view my prior authorizations submitted by my provider in the top right hand corner of the claims page</t>
  </si>
  <si>
    <t>TC93</t>
  </si>
  <si>
    <t>As a member, I have the ability to view my current Medical Account Summary (Deductible/OOP max) reflecting an accurate representation based on my claims. If I am on a plan with tiered accumulators, I will be able to select Tier 1 vs INN Accumulators in a dropdown to see my progress for each.</t>
  </si>
  <si>
    <t>TC94</t>
  </si>
  <si>
    <t>As a member, I have the ability to submit a claim reimbursment form</t>
  </si>
  <si>
    <t>TC95</t>
  </si>
  <si>
    <t>As a member, I have the ability to view claim documents based on my coverage</t>
  </si>
  <si>
    <t>TC96</t>
  </si>
  <si>
    <t>As a member, when selecting a claim, I have the ability to view my explanation of benefits for the services incurred.</t>
  </si>
  <si>
    <t>Capability</t>
  </si>
  <si>
    <t>Claims (Adjudication &amp; EOB/PRAs)</t>
  </si>
  <si>
    <t>As a provider and member,  claims submitted by me should successfully get processed as per the applicable benefit coverage.</t>
  </si>
  <si>
    <r>
      <rPr>
        <b/>
        <sz val="11"/>
        <color rgb="FF000000"/>
        <rFont val="Calibri"/>
        <family val="2"/>
        <scheme val="minor"/>
      </rPr>
      <t xml:space="preserve">Professional claims- </t>
    </r>
    <r>
      <rPr>
        <sz val="11"/>
        <color rgb="FF000000"/>
        <rFont val="Calibri"/>
        <family val="2"/>
        <scheme val="minor"/>
      </rPr>
      <t>Physcian Services- Verify claims are adjudicated successfully and submitted to OFIN for Payment.</t>
    </r>
  </si>
  <si>
    <r>
      <rPr>
        <b/>
        <sz val="11"/>
        <color rgb="FF000000"/>
        <rFont val="Calibri"/>
        <family val="2"/>
        <scheme val="minor"/>
      </rPr>
      <t xml:space="preserve">Professional claims (Staff Model PCP member)- </t>
    </r>
    <r>
      <rPr>
        <sz val="11"/>
        <color rgb="FF000000"/>
        <rFont val="Calibri"/>
        <family val="2"/>
        <scheme val="minor"/>
      </rPr>
      <t>Physcian Services for a provider in member's pcp org- Verify claims are adjudicated successfully and submitted to OFIN for Payment.</t>
    </r>
  </si>
  <si>
    <r>
      <rPr>
        <b/>
        <sz val="11"/>
        <color theme="1"/>
        <rFont val="Calibri"/>
        <family val="2"/>
        <scheme val="minor"/>
      </rPr>
      <t>Institutional Inpatient claim-</t>
    </r>
    <r>
      <rPr>
        <sz val="11"/>
        <color theme="1"/>
        <rFont val="Calibri"/>
        <family val="2"/>
        <scheme val="minor"/>
      </rPr>
      <t xml:space="preserve"> Verify claims are adjudicated successfully and submitted to OFIN for Payment</t>
    </r>
  </si>
  <si>
    <r>
      <rPr>
        <b/>
        <sz val="11"/>
        <color theme="1"/>
        <rFont val="Calibri"/>
        <family val="2"/>
        <scheme val="minor"/>
      </rPr>
      <t>Institutional Outpatient claim-</t>
    </r>
    <r>
      <rPr>
        <sz val="11"/>
        <color theme="1"/>
        <rFont val="Calibri"/>
        <family val="2"/>
        <scheme val="minor"/>
      </rPr>
      <t xml:space="preserve"> Verify claims are adjudicated successfully and submitted to OFIN for Payment</t>
    </r>
  </si>
  <si>
    <r>
      <rPr>
        <b/>
        <sz val="11"/>
        <color theme="1"/>
        <rFont val="Calibri"/>
        <family val="2"/>
        <scheme val="minor"/>
      </rPr>
      <t>OON Claim</t>
    </r>
    <r>
      <rPr>
        <sz val="11"/>
        <color theme="1"/>
        <rFont val="Calibri"/>
        <family val="2"/>
        <scheme val="minor"/>
      </rPr>
      <t>-Verify claims are adjudicated successfully and submitted to OFIN for Payment</t>
    </r>
  </si>
  <si>
    <r>
      <rPr>
        <b/>
        <sz val="11"/>
        <color rgb="FF000000"/>
        <rFont val="Calibri"/>
        <family val="2"/>
        <scheme val="minor"/>
      </rPr>
      <t>Specialist Claim-</t>
    </r>
    <r>
      <rPr>
        <sz val="11"/>
        <color rgb="FF000000"/>
        <rFont val="Calibri"/>
        <family val="2"/>
        <scheme val="minor"/>
      </rPr>
      <t xml:space="preserve"> Verify claims are adjudicated successfully and submitted to OFIN for Payment</t>
    </r>
  </si>
  <si>
    <r>
      <rPr>
        <b/>
        <sz val="11"/>
        <color theme="1"/>
        <rFont val="Calibri"/>
        <family val="2"/>
        <scheme val="minor"/>
      </rPr>
      <t>Referral required</t>
    </r>
    <r>
      <rPr>
        <sz val="11"/>
        <color theme="1"/>
        <rFont val="Calibri"/>
        <family val="2"/>
        <scheme val="minor"/>
      </rPr>
      <t>- Verify claims are adjudicated successfully and submitted to OFIN for Payment</t>
    </r>
  </si>
  <si>
    <t>C131747</t>
  </si>
  <si>
    <r>
      <rPr>
        <b/>
        <sz val="11"/>
        <color theme="1"/>
        <rFont val="Calibri"/>
        <family val="2"/>
        <scheme val="minor"/>
      </rPr>
      <t>Auth required</t>
    </r>
    <r>
      <rPr>
        <sz val="11"/>
        <color theme="1"/>
        <rFont val="Calibri"/>
        <family val="2"/>
        <scheme val="minor"/>
      </rPr>
      <t>-Verify claims are adjudicated successfully and submitted to OFIN for Payment</t>
    </r>
  </si>
  <si>
    <t>Referral Circles</t>
  </si>
  <si>
    <r>
      <rPr>
        <b/>
        <sz val="11"/>
        <color theme="1"/>
        <rFont val="Calibri"/>
        <family val="2"/>
        <scheme val="minor"/>
      </rPr>
      <t>Referral Logic</t>
    </r>
    <r>
      <rPr>
        <sz val="11"/>
        <color theme="1"/>
        <rFont val="Calibri"/>
        <family val="2"/>
        <scheme val="minor"/>
      </rPr>
      <t>- Claim where servicing provider  is not members PCP but is part of same referral circle as the member's PCP and affiliated to same organization as the members PCP (No referral attached to the claim). Claim is adjudicated successfully and submitted to OFIN for Payment</t>
    </r>
  </si>
  <si>
    <r>
      <rPr>
        <b/>
        <sz val="10"/>
        <rFont val="Calibri"/>
        <family val="2"/>
        <scheme val="minor"/>
      </rPr>
      <t>Referral Logic-</t>
    </r>
    <r>
      <rPr>
        <sz val="10"/>
        <rFont val="Calibri"/>
        <family val="2"/>
        <scheme val="minor"/>
      </rPr>
      <t xml:space="preserve"> Claim where servicing provider  is not members PCP and  is NOT part of same referral circle as the member's PCP. (No referral attached to the claim), Claim is denied for no referral</t>
    </r>
  </si>
  <si>
    <t>C144198</t>
  </si>
  <si>
    <r>
      <rPr>
        <b/>
        <sz val="10"/>
        <rFont val="Calibri"/>
        <family val="2"/>
        <scheme val="minor"/>
      </rPr>
      <t>EOC Claim</t>
    </r>
    <r>
      <rPr>
        <sz val="10"/>
        <rFont val="Calibri"/>
        <family val="2"/>
        <scheme val="minor"/>
      </rPr>
      <t xml:space="preserve"> -Confirm EOC claims are adjudicated properly</t>
    </r>
  </si>
  <si>
    <t>C131360</t>
  </si>
  <si>
    <r>
      <rPr>
        <b/>
        <sz val="10"/>
        <rFont val="Calibri"/>
        <family val="2"/>
        <scheme val="minor"/>
      </rPr>
      <t>COB Claim</t>
    </r>
    <r>
      <rPr>
        <sz val="10"/>
        <rFont val="Calibri"/>
        <family val="2"/>
        <scheme val="minor"/>
      </rPr>
      <t xml:space="preserve"> -Confirm COB claims are adjudicated properly</t>
    </r>
  </si>
  <si>
    <t>C138929</t>
  </si>
  <si>
    <r>
      <rPr>
        <b/>
        <sz val="10"/>
        <rFont val="Calibri"/>
        <family val="2"/>
        <scheme val="minor"/>
      </rPr>
      <t>Out Of Area Ambulance Claim-</t>
    </r>
    <r>
      <rPr>
        <sz val="10"/>
        <rFont val="Calibri"/>
        <family val="2"/>
        <scheme val="minor"/>
      </rPr>
      <t>Verify out of area ambulance claims are processed and adjudicated appropriately</t>
    </r>
  </si>
  <si>
    <r>
      <rPr>
        <b/>
        <sz val="10"/>
        <rFont val="Calibri"/>
        <family val="2"/>
        <scheme val="minor"/>
      </rPr>
      <t>Urgent Care Claim-</t>
    </r>
    <r>
      <rPr>
        <sz val="10"/>
        <rFont val="Calibri"/>
        <family val="2"/>
        <scheme val="minor"/>
      </rPr>
      <t>Verify urgent care claims are processed and adjudicated appropriately</t>
    </r>
  </si>
  <si>
    <r>
      <rPr>
        <b/>
        <sz val="10"/>
        <rFont val="Calibri"/>
        <family val="2"/>
        <scheme val="minor"/>
      </rPr>
      <t>Emergency Claim-</t>
    </r>
    <r>
      <rPr>
        <sz val="10"/>
        <rFont val="Calibri"/>
        <family val="2"/>
        <scheme val="minor"/>
      </rPr>
      <t>Verify urgent/emergency service claims are processed and adjudicated appropriately</t>
    </r>
  </si>
  <si>
    <t>C131470</t>
  </si>
  <si>
    <r>
      <rPr>
        <b/>
        <sz val="10"/>
        <rFont val="Calibri"/>
        <family val="2"/>
        <scheme val="minor"/>
      </rPr>
      <t>Accumulator Updates</t>
    </r>
    <r>
      <rPr>
        <sz val="10"/>
        <rFont val="Calibri"/>
        <family val="2"/>
        <scheme val="minor"/>
      </rPr>
      <t xml:space="preserve"> - Verify member accumulator is updated with appropriate DED/OOP dollar amounts</t>
    </r>
  </si>
  <si>
    <t>C136731</t>
  </si>
  <si>
    <r>
      <rPr>
        <b/>
        <sz val="10"/>
        <rFont val="Calibri"/>
        <family val="2"/>
        <scheme val="minor"/>
      </rPr>
      <t>Adujstment Scenarios</t>
    </r>
    <r>
      <rPr>
        <sz val="10"/>
        <rFont val="Calibri"/>
        <family val="2"/>
        <scheme val="minor"/>
      </rPr>
      <t xml:space="preserve"> - Verify member reimbursement for overages through UI adjustments and confirm payment request down to OFIN</t>
    </r>
  </si>
  <si>
    <t>C147034 &amp; C168004</t>
  </si>
  <si>
    <r>
      <rPr>
        <b/>
        <sz val="10"/>
        <rFont val="Calibri"/>
        <family val="2"/>
        <scheme val="minor"/>
      </rPr>
      <t xml:space="preserve">EOB and PRA </t>
    </r>
    <r>
      <rPr>
        <sz val="10"/>
        <rFont val="Calibri"/>
        <family val="2"/>
        <scheme val="minor"/>
      </rPr>
      <t>are successfully generated for the claims</t>
    </r>
  </si>
  <si>
    <r>
      <rPr>
        <b/>
        <sz val="10"/>
        <rFont val="Calibri"/>
        <family val="2"/>
        <scheme val="minor"/>
      </rPr>
      <t>EOB and PRA</t>
    </r>
    <r>
      <rPr>
        <sz val="10"/>
        <rFont val="Calibri"/>
        <family val="2"/>
        <scheme val="minor"/>
      </rPr>
      <t xml:space="preserve"> have the correct information populated- Member &amp; Provider, Claim information, Payment information, Member/Provider responsibility, remark/deny codes</t>
    </r>
  </si>
  <si>
    <t>Clinical- ICUE</t>
  </si>
  <si>
    <t>Referral is successfully submitted from ICUE</t>
  </si>
  <si>
    <t>Authorization is successfully submitted from ICUE</t>
  </si>
  <si>
    <t>A003300842</t>
  </si>
  <si>
    <t>Dependant Claim- Verify claims are adjudicated successfully and submitted to OFIN for Payment</t>
  </si>
  <si>
    <t>Tiered Benefits- Add scnearios</t>
  </si>
  <si>
    <r>
      <rPr>
        <b/>
        <sz val="11"/>
        <color theme="5" tint="-0.249977111117893"/>
        <rFont val="Calibri"/>
        <family val="2"/>
        <scheme val="minor"/>
      </rPr>
      <t>Auto Assign</t>
    </r>
    <r>
      <rPr>
        <sz val="11"/>
        <color theme="1"/>
        <rFont val="Calibri"/>
        <family val="2"/>
        <scheme val="minor"/>
      </rPr>
      <t xml:space="preserve"> - Verify  in-network PCPs are auto assigned for members enrolled in Signature Value HMO</t>
    </r>
  </si>
  <si>
    <r>
      <rPr>
        <b/>
        <sz val="11"/>
        <color theme="4" tint="-0.249977111117893"/>
        <rFont val="Calibri"/>
        <family val="2"/>
        <scheme val="minor"/>
      </rPr>
      <t>Direct Assign</t>
    </r>
    <r>
      <rPr>
        <sz val="11"/>
        <color theme="1"/>
        <rFont val="Calibri"/>
        <family val="2"/>
        <scheme val="minor"/>
      </rPr>
      <t xml:space="preserve"> - Verify PCP can be added via Cirrus UI</t>
    </r>
  </si>
  <si>
    <t>DE1227811</t>
  </si>
  <si>
    <r>
      <rPr>
        <b/>
        <sz val="10"/>
        <color theme="5" tint="-0.249977111117893"/>
        <rFont val="Arial"/>
        <family val="2"/>
      </rPr>
      <t>Auto Assign</t>
    </r>
    <r>
      <rPr>
        <sz val="10"/>
        <rFont val="Arial"/>
        <family val="2"/>
      </rPr>
      <t xml:space="preserve">  - Verify PCP can be added via B&amp;E Portal</t>
    </r>
  </si>
  <si>
    <t>Verify Provider Directory (guest &amp; authenticated) for PCP display and Sorting order</t>
  </si>
  <si>
    <r>
      <rPr>
        <b/>
        <sz val="11"/>
        <color theme="5" tint="-0.249977111117893"/>
        <rFont val="Calibri"/>
        <family val="2"/>
      </rPr>
      <t>Auto Assign</t>
    </r>
    <r>
      <rPr>
        <sz val="11"/>
        <color rgb="FF000000"/>
        <rFont val="Calibri"/>
        <family val="2"/>
      </rPr>
      <t xml:space="preserve"> - Verify that member is assigned to PCP with open ended contract date (12-31-9999)</t>
    </r>
  </si>
  <si>
    <r>
      <rPr>
        <b/>
        <sz val="11"/>
        <color theme="4" tint="-0.249977111117893"/>
        <rFont val="Calibri"/>
        <family val="2"/>
      </rPr>
      <t>Direct Assign</t>
    </r>
    <r>
      <rPr>
        <sz val="11"/>
        <color rgb="FF000000"/>
        <rFont val="Calibri"/>
        <family val="2"/>
      </rPr>
      <t xml:space="preserve"> - Verify that if member provided PCP ID has an end date, then PCP is not assigned and an appropriate pcp is selected in it's place</t>
    </r>
  </si>
  <si>
    <r>
      <rPr>
        <b/>
        <sz val="10"/>
        <color theme="4" tint="-0.249977111117893"/>
        <rFont val="Arial"/>
        <family val="2"/>
      </rPr>
      <t>Direct Assign</t>
    </r>
    <r>
      <rPr>
        <sz val="10"/>
        <rFont val="Arial"/>
        <family val="2"/>
      </rPr>
      <t xml:space="preserve"> - Member requests an Organization as a PCP. Organization does not have any active Providers affiliated, nor does it have any active Contracts</t>
    </r>
  </si>
  <si>
    <t xml:space="preserve">	112023758024</t>
  </si>
  <si>
    <r>
      <rPr>
        <b/>
        <sz val="10"/>
        <color theme="4" tint="-0.249977111117893"/>
        <rFont val="Arial"/>
        <family val="2"/>
      </rPr>
      <t>Direct Assign</t>
    </r>
    <r>
      <rPr>
        <sz val="10"/>
        <rFont val="Arial"/>
        <family val="2"/>
      </rPr>
      <t xml:space="preserve"> - Verify PCP can be assigned to member at Org level
Member requests an Organization as a PCP. Organization does not have any active Providers affiliated, but does it have an active Contract</t>
    </r>
  </si>
  <si>
    <r>
      <rPr>
        <b/>
        <sz val="10"/>
        <color theme="5" tint="-0.249977111117893"/>
        <rFont val="Arial"/>
        <family val="2"/>
      </rPr>
      <t>Auto Assign</t>
    </r>
    <r>
      <rPr>
        <sz val="10"/>
        <rFont val="Arial"/>
        <family val="2"/>
      </rPr>
      <t xml:space="preserve"> - Verify PCP is assigned appropriately based on member's age/gender range</t>
    </r>
  </si>
  <si>
    <r>
      <rPr>
        <b/>
        <sz val="11"/>
        <color theme="4" tint="-0.249977111117893"/>
        <rFont val="Calibri"/>
        <family val="2"/>
      </rPr>
      <t xml:space="preserve">Direct Assign </t>
    </r>
    <r>
      <rPr>
        <sz val="11"/>
        <rFont val="Calibri"/>
        <family val="2"/>
      </rPr>
      <t>- Female Member age 18 request PCP with Age/Gender M/F/U = 18-999</t>
    </r>
  </si>
  <si>
    <r>
      <rPr>
        <b/>
        <sz val="11"/>
        <color theme="4" tint="-0.249977111117893"/>
        <rFont val="Calibri"/>
        <family val="2"/>
      </rPr>
      <t>Direct Assign</t>
    </r>
    <r>
      <rPr>
        <sz val="11"/>
        <rFont val="Calibri"/>
        <family val="2"/>
      </rPr>
      <t xml:space="preserve"> - Female Member age 18 request PCP with Age/Gender F = 0-999</t>
    </r>
  </si>
  <si>
    <r>
      <rPr>
        <b/>
        <sz val="11"/>
        <color theme="4" tint="-0.249977111117893"/>
        <rFont val="Calibri"/>
        <family val="2"/>
      </rPr>
      <t>Direct Assign</t>
    </r>
    <r>
      <rPr>
        <sz val="11"/>
        <rFont val="Calibri"/>
        <family val="2"/>
      </rPr>
      <t xml:space="preserve"> - Verify that if Provider does not meet the age requirements for member's PCP request, then  assignment fails and PCP is randomized
Female Member Age 1 request PCP with Age/Gender M/F/U = 18-999</t>
    </r>
  </si>
  <si>
    <r>
      <rPr>
        <b/>
        <sz val="11"/>
        <color theme="4" tint="-0.249977111117893"/>
        <rFont val="Calibri"/>
        <family val="2"/>
      </rPr>
      <t>Direct Assign</t>
    </r>
    <r>
      <rPr>
        <sz val="11"/>
        <rFont val="Calibri"/>
        <family val="2"/>
      </rPr>
      <t xml:space="preserve"> - Male Member age 18 request PCP with Age/Gender M/F/U = 18-999</t>
    </r>
  </si>
  <si>
    <r>
      <rPr>
        <b/>
        <sz val="11"/>
        <color theme="4" tint="-0.249977111117893"/>
        <rFont val="Calibri"/>
        <family val="2"/>
      </rPr>
      <t>Direct Assign</t>
    </r>
    <r>
      <rPr>
        <sz val="11"/>
        <rFont val="Calibri"/>
        <family val="2"/>
      </rPr>
      <t xml:space="preserve"> - Male Member age 18 request PCP with Age/Gender M = 0-999</t>
    </r>
  </si>
  <si>
    <r>
      <rPr>
        <b/>
        <sz val="11"/>
        <color theme="4" tint="-0.249977111117893"/>
        <rFont val="Calibri"/>
        <family val="2"/>
      </rPr>
      <t>Direct Assign</t>
    </r>
    <r>
      <rPr>
        <sz val="11"/>
        <rFont val="Calibri"/>
        <family val="2"/>
      </rPr>
      <t xml:space="preserve"> - Male Member Age 1 request PCP with Age/Gender M/F/U = 18-999</t>
    </r>
  </si>
  <si>
    <r>
      <rPr>
        <b/>
        <sz val="10"/>
        <color theme="5" tint="-0.249977111117893"/>
        <rFont val="Arial"/>
        <family val="2"/>
      </rPr>
      <t>Auto Assign</t>
    </r>
    <r>
      <rPr>
        <sz val="10"/>
        <rFont val="Arial"/>
        <family val="2"/>
      </rPr>
      <t xml:space="preserve"> - Verify Newborn member is assigned appropriate PCP upon enrollment based on age if mother's pcp is not appropriate</t>
    </r>
  </si>
  <si>
    <r>
      <rPr>
        <b/>
        <sz val="10"/>
        <color theme="5" tint="-0.249977111117893"/>
        <rFont val="Arial"/>
        <family val="2"/>
      </rPr>
      <t>Auto Assign</t>
    </r>
    <r>
      <rPr>
        <sz val="10"/>
        <rFont val="Arial"/>
        <family val="2"/>
      </rPr>
      <t xml:space="preserve"> - Verify Newborn member is assigned to mother's group upon enrollment</t>
    </r>
  </si>
  <si>
    <t>Verify ID cards for Group/Org Assignment</t>
  </si>
  <si>
    <t>Verify ID cards for individual pcp assignment</t>
  </si>
  <si>
    <r>
      <rPr>
        <b/>
        <sz val="11"/>
        <color theme="4" tint="-0.249977111117893"/>
        <rFont val="Calibri"/>
        <family val="2"/>
      </rPr>
      <t>Direct Assign</t>
    </r>
    <r>
      <rPr>
        <sz val="11"/>
        <color theme="1"/>
        <rFont val="Calibri"/>
        <family val="2"/>
      </rPr>
      <t xml:space="preserve"> - Verify pcp assignment using member work address, which is outside from home address service area</t>
    </r>
  </si>
  <si>
    <r>
      <rPr>
        <b/>
        <sz val="11"/>
        <color theme="4" tint="-0.249977111117893"/>
        <rFont val="Calibri"/>
        <family val="2"/>
      </rPr>
      <t>Direct Assign</t>
    </r>
    <r>
      <rPr>
        <sz val="11"/>
        <color theme="1"/>
        <rFont val="Calibri"/>
        <family val="2"/>
      </rPr>
      <t xml:space="preserve"> - Verify pcp assignment using member home address</t>
    </r>
  </si>
  <si>
    <r>
      <rPr>
        <b/>
        <sz val="11"/>
        <color theme="4" tint="-0.249977111117893"/>
        <rFont val="Calibri"/>
        <family val="2"/>
      </rPr>
      <t>Direct Assign</t>
    </r>
    <r>
      <rPr>
        <sz val="11"/>
        <color theme="1"/>
        <rFont val="Calibri"/>
        <family val="2"/>
      </rPr>
      <t xml:space="preserve"> - Verify PCP assignment to staff Model PCP location</t>
    </r>
  </si>
  <si>
    <r>
      <rPr>
        <b/>
        <sz val="11"/>
        <color theme="4" tint="-0.249977111117893"/>
        <rFont val="Calibri"/>
        <family val="2"/>
      </rPr>
      <t>Direct Assign</t>
    </r>
    <r>
      <rPr>
        <sz val="11"/>
        <color theme="1"/>
        <rFont val="Calibri"/>
        <family val="2"/>
      </rPr>
      <t xml:space="preserve"> - CA Signature Value HMO member attempts to choose a Signature Value PCP, but lives in a Zip code outside the range of benefit plan service area allowance, then PCP is not assigned and system randomizes a new PCP</t>
    </r>
  </si>
  <si>
    <r>
      <rPr>
        <b/>
        <sz val="11"/>
        <color theme="4" tint="-0.249977111117893"/>
        <rFont val="Calibri"/>
        <family val="2"/>
      </rPr>
      <t>Direct Assign</t>
    </r>
    <r>
      <rPr>
        <sz val="11"/>
        <color theme="1"/>
        <rFont val="Calibri"/>
        <family val="2"/>
      </rPr>
      <t xml:space="preserve"> - Verify if member selected PCP is out of Area and not assigned then assignment should fall to manual review
Member lives in Fresno, CA, PCP is in Porterville, CA, more than 30 miles from the Members home address</t>
    </r>
  </si>
  <si>
    <r>
      <rPr>
        <b/>
        <sz val="11"/>
        <color theme="4" tint="-0.249977111117893"/>
        <rFont val="Calibri"/>
        <family val="2"/>
      </rPr>
      <t>Direct Assign</t>
    </r>
    <r>
      <rPr>
        <sz val="11"/>
        <rFont val="Calibri"/>
        <family val="2"/>
      </rPr>
      <t xml:space="preserve"> - Member lives in California and selects a PCP who has active Contracts in California  for County A and County B which are contiguous Markets</t>
    </r>
  </si>
  <si>
    <r>
      <rPr>
        <b/>
        <sz val="11"/>
        <color theme="4" tint="-0.249977111117893"/>
        <rFont val="Calibri"/>
        <family val="2"/>
      </rPr>
      <t>Direct Assign</t>
    </r>
    <r>
      <rPr>
        <sz val="11"/>
        <rFont val="Calibri"/>
        <family val="2"/>
      </rPr>
      <t xml:space="preserve"> - Member lives in California County B and selects a PCP who has active Contracts in California County A and County C  </t>
    </r>
  </si>
  <si>
    <t xml:space="preserve">Member selects a PCP who has a Provider and Network Contract.  Member has Capitation in their Benefit Schedule. </t>
  </si>
  <si>
    <t xml:space="preserve">Member selects a PCP who has a Provider and Network Contract.  Member does not have Capitation in their Benefit Schedule. </t>
  </si>
  <si>
    <r>
      <t>Risk Member w</t>
    </r>
    <r>
      <rPr>
        <sz val="11"/>
        <rFont val="Calibri"/>
        <family val="2"/>
      </rPr>
      <t>ith Signature Value HMO</t>
    </r>
    <r>
      <rPr>
        <sz val="11"/>
        <color theme="1"/>
        <rFont val="Calibri"/>
        <family val="2"/>
      </rPr>
      <t xml:space="preserve">  assigned to a Provider in the Network Contract and Roster. Provider Terms and Replacement Provider is sent to reassign the Member. Reassign Provider is a </t>
    </r>
    <r>
      <rPr>
        <sz val="11"/>
        <rFont val="Calibri"/>
        <family val="2"/>
      </rPr>
      <t>Signature Value HMO  Provider in a Network Contract and Roster</t>
    </r>
  </si>
  <si>
    <r>
      <t>Risk Only Member w</t>
    </r>
    <r>
      <rPr>
        <sz val="11"/>
        <rFont val="Calibri"/>
        <family val="2"/>
      </rPr>
      <t>ith Signature Value HMO</t>
    </r>
    <r>
      <rPr>
        <sz val="11"/>
        <color theme="1"/>
        <rFont val="Calibri"/>
        <family val="2"/>
      </rPr>
      <t xml:space="preserve">  assigned to a Provider in the Network Contract and Roster. Provider Terms and Replacement Provider is sent to reassign the Member. Reassign Provider is a </t>
    </r>
    <r>
      <rPr>
        <sz val="11"/>
        <rFont val="Calibri"/>
        <family val="2"/>
      </rPr>
      <t>Signature Value HMO Provider not in a Network Contract and Roster</t>
    </r>
  </si>
  <si>
    <r>
      <rPr>
        <b/>
        <sz val="11"/>
        <color theme="4" tint="-0.249977111117893"/>
        <rFont val="Calibri"/>
        <family val="2"/>
      </rPr>
      <t>Direct Assign</t>
    </r>
    <r>
      <rPr>
        <sz val="11"/>
        <color theme="1"/>
        <rFont val="Calibri"/>
        <family val="2"/>
      </rPr>
      <t xml:space="preserve"> - Verify member is assigned to appropriate location when assigned to a MCO</t>
    </r>
  </si>
  <si>
    <r>
      <rPr>
        <b/>
        <sz val="11"/>
        <color theme="4" tint="-0.249977111117893"/>
        <rFont val="Calibri"/>
        <family val="2"/>
      </rPr>
      <t>Direct Assign</t>
    </r>
    <r>
      <rPr>
        <sz val="11"/>
        <color theme="1"/>
        <rFont val="Calibri"/>
        <family val="2"/>
      </rPr>
      <t xml:space="preserve"> - Verify pcp success and failure messages during direct assignment</t>
    </r>
  </si>
  <si>
    <r>
      <rPr>
        <b/>
        <sz val="11"/>
        <color theme="4" tint="-0.249977111117893"/>
        <rFont val="Calibri"/>
        <family val="2"/>
      </rPr>
      <t>Direct Assign</t>
    </r>
    <r>
      <rPr>
        <sz val="11"/>
        <color theme="1"/>
        <rFont val="Calibri"/>
        <family val="2"/>
      </rPr>
      <t xml:space="preserve"> - Verify PCP successful direct assignment along with appropriate reason code is displayed in cirrus</t>
    </r>
  </si>
  <si>
    <r>
      <rPr>
        <b/>
        <sz val="11"/>
        <color theme="4" tint="-0.249977111117893"/>
        <rFont val="Calibri"/>
        <family val="2"/>
      </rPr>
      <t>Direct Assign</t>
    </r>
    <r>
      <rPr>
        <sz val="11"/>
        <color theme="1"/>
        <rFont val="Calibri"/>
        <family val="2"/>
      </rPr>
      <t xml:space="preserve"> - Verify that if member provided PCP ID can't be assigned then appropriate reason code is displayed in cirrus and PCP is randomized</t>
    </r>
  </si>
  <si>
    <r>
      <rPr>
        <b/>
        <sz val="11"/>
        <color theme="4" tint="-0.249977111117893"/>
        <rFont val="Calibri"/>
        <family val="2"/>
      </rPr>
      <t xml:space="preserve">Direct Assign </t>
    </r>
    <r>
      <rPr>
        <sz val="11"/>
        <color theme="1"/>
        <rFont val="Calibri"/>
        <family val="2"/>
      </rPr>
      <t>- Verify if PCP is not accepting new patients (provider is accepting existing patients but member is not an existing patient), and member requests PCP direct assignment, then PCP is not assigned and randomization occurs</t>
    </r>
  </si>
  <si>
    <r>
      <rPr>
        <b/>
        <sz val="11"/>
        <color theme="4" tint="-0.249977111117893"/>
        <rFont val="Calibri"/>
        <family val="2"/>
      </rPr>
      <t>Direct Assign</t>
    </r>
    <r>
      <rPr>
        <sz val="11"/>
        <color theme="1"/>
        <rFont val="Calibri"/>
        <family val="2"/>
      </rPr>
      <t xml:space="preserve"> - Verify if PCP is not contracted with Signature Value in the Network Schedule, then PCP is not assigned</t>
    </r>
  </si>
  <si>
    <r>
      <rPr>
        <b/>
        <sz val="11"/>
        <color theme="5" tint="-0.249977111117893"/>
        <rFont val="Calibri"/>
        <family val="2"/>
      </rPr>
      <t>Auto Assign</t>
    </r>
    <r>
      <rPr>
        <sz val="11"/>
        <color theme="1"/>
        <rFont val="Calibri"/>
        <family val="2"/>
      </rPr>
      <t xml:space="preserve"> - Verify appropriate network ID is displayed for NICE pcp's</t>
    </r>
  </si>
  <si>
    <r>
      <rPr>
        <b/>
        <sz val="11"/>
        <color theme="5" tint="-0.249977111117893"/>
        <rFont val="Calibri"/>
        <family val="2"/>
      </rPr>
      <t>Auto Assign</t>
    </r>
    <r>
      <rPr>
        <sz val="11"/>
        <color theme="1"/>
        <rFont val="Calibri"/>
        <family val="2"/>
      </rPr>
      <t xml:space="preserve"> - Verify that if member's address is updated, then currently assigned pcp needs to be revalidated and updated</t>
    </r>
  </si>
  <si>
    <r>
      <rPr>
        <b/>
        <sz val="11"/>
        <color theme="7" tint="-0.249977111117893"/>
        <rFont val="Calibri"/>
        <family val="2"/>
      </rPr>
      <t>Demographic Term</t>
    </r>
    <r>
      <rPr>
        <b/>
        <sz val="11"/>
        <color theme="4" tint="-0.249977111117893"/>
        <rFont val="Calibri"/>
        <family val="2"/>
      </rPr>
      <t xml:space="preserve"> </t>
    </r>
    <r>
      <rPr>
        <sz val="11"/>
        <color theme="1"/>
        <rFont val="Calibri"/>
        <family val="2"/>
      </rPr>
      <t>- Verify that member can not direct assign a PCP/location whose address is already termed
PCP is termed in Demographics, but has Active Roster and Network Contract with Signature Value HMO Network</t>
    </r>
  </si>
  <si>
    <r>
      <rPr>
        <b/>
        <sz val="11"/>
        <color theme="7" tint="-0.249977111117893"/>
        <rFont val="Calibri"/>
        <family val="2"/>
      </rPr>
      <t>Roster Term</t>
    </r>
    <r>
      <rPr>
        <b/>
        <sz val="11"/>
        <color theme="4" tint="-0.249977111117893"/>
        <rFont val="Calibri"/>
        <family val="2"/>
      </rPr>
      <t xml:space="preserve"> </t>
    </r>
    <r>
      <rPr>
        <sz val="11"/>
        <color theme="1"/>
        <rFont val="Calibri"/>
        <family val="2"/>
      </rPr>
      <t>- Verify that member can not direct assign a PCP  is termed in Roster
PCP is termed in Roster, but has another Active Roster and Network Contract  with Signature Value HMO Network</t>
    </r>
  </si>
  <si>
    <r>
      <rPr>
        <b/>
        <sz val="11"/>
        <color theme="7" tint="-0.249977111117893"/>
        <rFont val="Calibri"/>
        <family val="2"/>
      </rPr>
      <t>Network Term</t>
    </r>
    <r>
      <rPr>
        <sz val="11"/>
        <color theme="1"/>
        <rFont val="Calibri"/>
        <family val="2"/>
      </rPr>
      <t xml:space="preserve"> - PCP has an Active Contract, but is termed with Signature Value HMO, Member requests PCP</t>
    </r>
  </si>
  <si>
    <r>
      <rPr>
        <b/>
        <sz val="11"/>
        <color theme="7" tint="-0.249977111117893"/>
        <rFont val="Calibri"/>
        <family val="2"/>
      </rPr>
      <t>Demographic Term</t>
    </r>
    <r>
      <rPr>
        <sz val="11"/>
        <color theme="1"/>
        <rFont val="Calibri"/>
        <family val="2"/>
      </rPr>
      <t xml:space="preserve"> - Verify that if member's current PCP's address is termed, then member is reassigned appropriately</t>
    </r>
  </si>
  <si>
    <r>
      <rPr>
        <b/>
        <sz val="11"/>
        <color theme="7" tint="-0.249977111117893"/>
        <rFont val="Calibri"/>
        <family val="2"/>
      </rPr>
      <t>Contract Term</t>
    </r>
    <r>
      <rPr>
        <sz val="11"/>
        <color theme="1"/>
        <rFont val="Calibri"/>
        <family val="2"/>
      </rPr>
      <t xml:space="preserve"> - Verify that if member's current PCP contract is termed, then member is reassigned an appropriate PCP</t>
    </r>
  </si>
  <si>
    <r>
      <rPr>
        <b/>
        <sz val="11"/>
        <color theme="7" tint="-0.249977111117893"/>
        <rFont val="Calibri"/>
        <family val="2"/>
      </rPr>
      <t>Contract Term</t>
    </r>
    <r>
      <rPr>
        <sz val="11"/>
        <color theme="1"/>
        <rFont val="Calibri"/>
        <family val="2"/>
      </rPr>
      <t xml:space="preserve"> - Verify that member can not direct assign a PCP that has a termed contract</t>
    </r>
  </si>
  <si>
    <r>
      <rPr>
        <b/>
        <sz val="11"/>
        <color theme="7" tint="-0.249977111117893"/>
        <rFont val="Calibri"/>
        <family val="2"/>
      </rPr>
      <t>Contract Term</t>
    </r>
    <r>
      <rPr>
        <sz val="11"/>
        <color theme="1"/>
        <rFont val="Calibri"/>
        <family val="2"/>
      </rPr>
      <t xml:space="preserve"> - PCP is active in Demographics, Active Roster, active in Network Contract, but termed in Provider Contract with Signature Value HMO Network</t>
    </r>
  </si>
  <si>
    <r>
      <rPr>
        <b/>
        <sz val="11"/>
        <color theme="7" tint="-0.249977111117893"/>
        <rFont val="Calibri"/>
        <family val="2"/>
      </rPr>
      <t>Roster &amp; Demographic Term</t>
    </r>
    <r>
      <rPr>
        <sz val="11"/>
        <color theme="1"/>
        <rFont val="Calibri"/>
        <family val="2"/>
      </rPr>
      <t xml:space="preserve"> - Verify that if member is assigned to a group, if an individual pcp within the group leaves (terms address and roster) then member is not reassigned a pcp and remains with medical group.</t>
    </r>
  </si>
  <si>
    <r>
      <rPr>
        <b/>
        <sz val="11"/>
        <color theme="7" tint="-0.249977111117893"/>
        <rFont val="Calibri"/>
        <family val="2"/>
      </rPr>
      <t>Group location is termed with replacement</t>
    </r>
    <r>
      <rPr>
        <sz val="11"/>
        <color theme="1"/>
        <rFont val="Calibri"/>
        <family val="2"/>
      </rPr>
      <t xml:space="preserve"> - Verify that if member is assigned to a group with multiple locations, if location A closes, roster and demographic is termed, replacement provider is supplied , then member is reassigned to replacement location</t>
    </r>
  </si>
  <si>
    <r>
      <rPr>
        <b/>
        <sz val="11"/>
        <color theme="7" tint="-0.249977111117893"/>
        <rFont val="Calibri"/>
        <family val="2"/>
      </rPr>
      <t>Group location is termed without replacement</t>
    </r>
    <r>
      <rPr>
        <sz val="11"/>
        <color theme="1"/>
        <rFont val="Calibri"/>
        <family val="2"/>
      </rPr>
      <t xml:space="preserve"> - Verify that if member is assigned to a group with multiple locations, if location A closes, roster and demographic is termed, replacement provider is NOT supplied , then member is reassigned per smart assignment rules</t>
    </r>
  </si>
  <si>
    <r>
      <rPr>
        <b/>
        <sz val="11"/>
        <color theme="5" tint="-0.249977111117893"/>
        <rFont val="Calibri"/>
        <family val="2"/>
      </rPr>
      <t>Auto Assign</t>
    </r>
    <r>
      <rPr>
        <sz val="11"/>
        <color theme="1"/>
        <rFont val="Calibri"/>
        <family val="2"/>
      </rPr>
      <t xml:space="preserve"> - Verify that provider assignment for PCP term does not follow 15/30 rule</t>
    </r>
  </si>
  <si>
    <r>
      <rPr>
        <b/>
        <sz val="11"/>
        <color theme="4" tint="-0.249977111117893"/>
        <rFont val="Calibri"/>
        <family val="2"/>
      </rPr>
      <t>Direct Assign</t>
    </r>
    <r>
      <rPr>
        <sz val="11"/>
        <color theme="1"/>
        <rFont val="Calibri"/>
        <family val="2"/>
      </rPr>
      <t xml:space="preserve"> - Verify any PCP changes initiated by member follows 15/30 rule
Member is assigned to a PCP eff 01/01/2023-12/31/9999. Assign PCP Address Terms and User selects Randomization on 02/20/2024</t>
    </r>
  </si>
  <si>
    <r>
      <rPr>
        <b/>
        <sz val="11"/>
        <color theme="5" tint="-0.249977111117893"/>
        <rFont val="Calibri"/>
        <family val="2"/>
      </rPr>
      <t xml:space="preserve">Auto Assign </t>
    </r>
    <r>
      <rPr>
        <sz val="11"/>
        <color theme="1"/>
        <rFont val="Calibri"/>
        <family val="2"/>
      </rPr>
      <t>- Verify member retro PCP assignment is valid per insuring rules</t>
    </r>
  </si>
  <si>
    <r>
      <rPr>
        <b/>
        <sz val="11"/>
        <color theme="5" tint="-0.249977111117893"/>
        <rFont val="Calibri"/>
        <family val="2"/>
      </rPr>
      <t>Auto Assign</t>
    </r>
    <r>
      <rPr>
        <sz val="11"/>
        <color theme="1"/>
        <rFont val="Calibri"/>
        <family val="2"/>
      </rPr>
      <t xml:space="preserve"> - Verify that upon reinstatement member is assigned a PCP</t>
    </r>
  </si>
  <si>
    <r>
      <rPr>
        <b/>
        <sz val="11"/>
        <color theme="4" tint="-0.249977111117893"/>
        <rFont val="Calibri"/>
        <family val="2"/>
      </rPr>
      <t>Direct Assign</t>
    </r>
    <r>
      <rPr>
        <sz val="11"/>
        <color theme="1"/>
        <rFont val="Calibri"/>
        <family val="2"/>
      </rPr>
      <t xml:space="preserve"> - Verify that upon reinstatement member can assign a PCP based on insuring rules</t>
    </r>
  </si>
  <si>
    <t>Validate PCP assignment for HMO/capitated/risk arrangements in appropriate service area : MCO Location /Service area (Sante Fresno vs. Sante Kings)</t>
  </si>
  <si>
    <r>
      <rPr>
        <b/>
        <sz val="10"/>
        <color theme="4" tint="-0.249977111117893"/>
        <rFont val="Arial"/>
        <family val="2"/>
      </rPr>
      <t>Direct Assign</t>
    </r>
    <r>
      <rPr>
        <sz val="10"/>
        <rFont val="Arial"/>
        <family val="2"/>
      </rPr>
      <t xml:space="preserve"> - Verify that when provider exists on both level 1 and level 3. level 1 provider should get assigned.</t>
    </r>
  </si>
  <si>
    <t>DSS</t>
  </si>
  <si>
    <t>pass</t>
  </si>
  <si>
    <t>OBM</t>
  </si>
  <si>
    <t>Carve Out</t>
  </si>
  <si>
    <t xml:space="preserve">Case install </t>
  </si>
  <si>
    <t>Case installation through DSS with 2 rx MEDRXDEDTYPE + ICCOPRX (OptumRx Injectables/ICOPP Rx plan)</t>
  </si>
  <si>
    <t xml:space="preserve">Case installation through OBM with 2 rx Carveout plan ID </t>
  </si>
  <si>
    <t>Validate RX benefit plans on UI</t>
  </si>
  <si>
    <t>Fullfilment</t>
  </si>
  <si>
    <t>Validate RX Carveout vendor name, phone number, url on benefit documents (COC's and SBC's)</t>
  </si>
  <si>
    <t>Validate ID Card displays 2 BIN numbers for carveout plan and ICCOP</t>
  </si>
  <si>
    <t>Portals/Digital</t>
  </si>
  <si>
    <t>Validate ICCOP plan displayed in provider portal eligibilty file</t>
  </si>
  <si>
    <t>Validate Acet displays carve‑out vendor name + phone (and URL if supported), and indicates Rx is carved out</t>
  </si>
  <si>
    <t>Validate Acet displays ICOPP/injectables for member benefits</t>
  </si>
  <si>
    <t>Validate Myuhc  ICCOP plan displayed under rx coverage for portal</t>
  </si>
  <si>
    <t>Validate member ID card in myuhc</t>
  </si>
  <si>
    <t>Validate member can access optumRX for ICCOP plan</t>
  </si>
  <si>
    <t>Claims/Accums</t>
  </si>
  <si>
    <t>Validate member accums is updated properly in Cirrus</t>
  </si>
  <si>
    <t>Validate accums exchange with OptumRX for ICCOP plans</t>
  </si>
  <si>
    <t>Validate proper member detail/claim transfer with OptumRX</t>
  </si>
  <si>
    <t>Regression</t>
  </si>
  <si>
    <t>Validate all regression scenarios for all portals, finance, fullfilment where rx plan benefits details exists</t>
  </si>
  <si>
    <t>PR3- 1/1/22</t>
  </si>
  <si>
    <t>TC Metrics</t>
  </si>
  <si>
    <t>Case Inst</t>
  </si>
  <si>
    <t>Downstream Extract</t>
  </si>
  <si>
    <t>B&amp;C</t>
  </si>
  <si>
    <t>Maint</t>
  </si>
  <si>
    <t>Clm/Clin</t>
  </si>
  <si>
    <t>DE</t>
  </si>
  <si>
    <t>Carve out</t>
  </si>
  <si>
    <t>Rating Population</t>
  </si>
  <si>
    <t>Integrated Administration</t>
  </si>
  <si>
    <t>Cal Choice</t>
  </si>
  <si>
    <t>PCP</t>
  </si>
  <si>
    <t>Total</t>
  </si>
  <si>
    <t>Not Valid</t>
  </si>
  <si>
    <t>No Run  (Not Started)</t>
  </si>
  <si>
    <t>Total Test Scripts</t>
  </si>
  <si>
    <t>Market Event</t>
  </si>
  <si>
    <t>Not Started</t>
  </si>
  <si>
    <t>In progress</t>
  </si>
  <si>
    <t>Passed</t>
  </si>
  <si>
    <t>Failed</t>
  </si>
  <si>
    <t>On Hold</t>
  </si>
  <si>
    <t>N/A, Not Valid, Deferred</t>
  </si>
  <si>
    <t>%
Executed</t>
  </si>
  <si>
    <t xml:space="preserve">% Passed </t>
  </si>
  <si>
    <t>Start Date</t>
  </si>
  <si>
    <t>Finish Date</t>
  </si>
  <si>
    <t>Current Defects</t>
  </si>
  <si>
    <t>Case Install</t>
  </si>
  <si>
    <t>Billing &amp; Commission</t>
  </si>
  <si>
    <t>Member Maintenance</t>
  </si>
  <si>
    <t>Claims &amp; Clinical</t>
  </si>
  <si>
    <t>Digital/Constituent Services</t>
  </si>
  <si>
    <t>PCP Assignment</t>
  </si>
  <si>
    <t xml:space="preserve">Case Install </t>
  </si>
  <si>
    <t xml:space="preserve">TC1 </t>
  </si>
  <si>
    <t xml:space="preserve">Group </t>
  </si>
  <si>
    <r>
      <t xml:space="preserve">Verify that a Parent Group with Organization Type “Corporation” and CalChoice Child Member Group can be affiliated with Member Group Affiliation Type “Third Party Administrator” using DSS
</t>
    </r>
    <r>
      <rPr>
        <sz val="11"/>
        <color rgb="FFFF0000"/>
        <rFont val="Calibri"/>
        <family val="2"/>
        <scheme val="minor"/>
      </rPr>
      <t>Parent group will be cerated manuly , need to know how we are going to Child group (Migrated trhough MTT?)</t>
    </r>
  </si>
  <si>
    <r>
      <t xml:space="preserve">Verify that a Parent Group with Organization Type “Corporation” and CalChoice Child Member Group can be affiliated with Member Group Affiliation Type “Third Party Administrator” using Astra
</t>
    </r>
    <r>
      <rPr>
        <sz val="11"/>
        <color rgb="FFFF0000"/>
        <rFont val="Calibri"/>
        <family val="2"/>
        <scheme val="minor"/>
      </rPr>
      <t>Parent group will be cerated manuly , need to know how we are going to Child group (Migrated trhough MTT?)</t>
    </r>
  </si>
  <si>
    <t>member</t>
  </si>
  <si>
    <r>
      <t>verify that</t>
    </r>
    <r>
      <rPr>
        <sz val="11"/>
        <color theme="1"/>
        <rFont val="Calibri"/>
        <family val="2"/>
        <scheme val="minor"/>
      </rPr>
      <t xml:space="preserve"> when a member is enrolled with </t>
    </r>
    <r>
      <rPr>
        <b/>
        <sz val="11"/>
        <color theme="1"/>
        <rFont val="Calibri"/>
        <family val="2"/>
        <scheme val="minor"/>
      </rPr>
      <t>benefit status = COBRA</t>
    </r>
    <r>
      <rPr>
        <sz val="11"/>
        <color theme="1"/>
        <rFont val="Calibri"/>
        <family val="2"/>
        <scheme val="minor"/>
      </rPr>
      <t xml:space="preserve">, the </t>
    </r>
    <r>
      <rPr>
        <b/>
        <sz val="11"/>
        <color theme="1"/>
        <rFont val="Calibri"/>
        <family val="2"/>
        <scheme val="minor"/>
      </rPr>
      <t>Continuation Effective Date</t>
    </r>
    <r>
      <rPr>
        <sz val="11"/>
        <color theme="1"/>
        <rFont val="Calibri"/>
        <family val="2"/>
        <scheme val="minor"/>
      </rPr>
      <t xml:space="preserve"> and </t>
    </r>
    <r>
      <rPr>
        <b/>
        <sz val="11"/>
        <color theme="1"/>
        <rFont val="Calibri"/>
        <family val="2"/>
        <scheme val="minor"/>
      </rPr>
      <t>Expiration Date</t>
    </r>
    <r>
      <rPr>
        <sz val="11"/>
        <color theme="1"/>
        <rFont val="Calibri"/>
        <family val="2"/>
        <scheme val="minor"/>
      </rPr>
      <t xml:space="preserve"> are displayed on the </t>
    </r>
    <r>
      <rPr>
        <b/>
        <sz val="11"/>
        <color theme="1"/>
        <rFont val="Calibri"/>
        <family val="2"/>
        <scheme val="minor"/>
      </rPr>
      <t>Cirrus UI</t>
    </r>
    <r>
      <rPr>
        <sz val="11"/>
        <color theme="1"/>
        <rFont val="Calibri"/>
        <family val="2"/>
        <scheme val="minor"/>
      </rPr>
      <t>.</t>
    </r>
  </si>
  <si>
    <t xml:space="preserve">Fulfillment- </t>
  </si>
  <si>
    <t>ID Card</t>
  </si>
  <si>
    <t>Generat  using UHC child group ID</t>
  </si>
  <si>
    <t>Fullfillment documents</t>
  </si>
  <si>
    <t>Parent Member group</t>
  </si>
  <si>
    <t>SBC</t>
  </si>
  <si>
    <t>Create</t>
  </si>
  <si>
    <t>SBC NODA</t>
  </si>
  <si>
    <t>Suppress</t>
  </si>
  <si>
    <t>Group HANBOOK</t>
  </si>
  <si>
    <t>Mmeber Handbook</t>
  </si>
  <si>
    <t>Child Member group</t>
  </si>
  <si>
    <t>Member fulfillments</t>
  </si>
  <si>
    <t>Member HIPPA notification(POLC/COBRA/AB1401)</t>
  </si>
  <si>
    <t>All other member level letters/notification</t>
  </si>
  <si>
    <t>Create (ID card follows the standard process and template)</t>
  </si>
  <si>
    <t>Member Handbook NODA</t>
  </si>
  <si>
    <t>Member Handbook</t>
  </si>
  <si>
    <t>BRMS</t>
  </si>
  <si>
    <t xml:space="preserve">Verify if we can see All plans in invoices </t>
  </si>
  <si>
    <t xml:space="preserve">2 Bill schedules: 1 for premium + commissions, the other for commissions adjustment 
</t>
  </si>
  <si>
    <t>New bill schedule with new bill item type will be created to represent the commissions adjustment</t>
  </si>
  <si>
    <t>BASICS</t>
  </si>
  <si>
    <t>Commission is paid by CalChoice Parent, not USP.</t>
  </si>
  <si>
    <t>USP has no involvement with brokers or commission payment</t>
  </si>
  <si>
    <t>Case Effective Scope</t>
  </si>
  <si>
    <t>Member Maintenance - Cirrus</t>
  </si>
  <si>
    <t xml:space="preserve">B&amp;E Portal (CalChoice only can access the portal as an internal user, not as an employer user), however there is no impact to the portal for CalChoice, and may be test only. </t>
  </si>
  <si>
    <t>MyUHC</t>
  </si>
  <si>
    <t>As a member, I have the ability to view my Individual/Family Deductible &amp; OOP Max accumulators  when logging into myuhc</t>
  </si>
  <si>
    <t>TC97</t>
  </si>
  <si>
    <t>TC98</t>
  </si>
  <si>
    <t>TC99</t>
  </si>
  <si>
    <t>TC100</t>
  </si>
  <si>
    <t>TC101</t>
  </si>
  <si>
    <t>TC102</t>
  </si>
  <si>
    <t>TC103</t>
  </si>
  <si>
    <t>TC104</t>
  </si>
  <si>
    <t>TC105</t>
  </si>
  <si>
    <t xml:space="preserve">Validate that member can navigate to Claim &amp; Account page and view explanation of benefits for the services incurred. </t>
  </si>
  <si>
    <t>TC106</t>
  </si>
  <si>
    <t>Member can view payments, EOBs, Member Responsibility details.</t>
  </si>
  <si>
    <t>ACET BEO</t>
  </si>
  <si>
    <t>TC107</t>
  </si>
  <si>
    <t>Verify Group eligibility details</t>
  </si>
  <si>
    <t>As an agent, I have the ability to view Group Contract option version and cross validate in ACET</t>
  </si>
  <si>
    <t>TC108</t>
  </si>
  <si>
    <t>Verify Group plan details</t>
  </si>
  <si>
    <t>As an agent, I have the ability to verify plans offered to a group including eff/exp dates from cirrus in ACET</t>
  </si>
  <si>
    <t>TC109</t>
  </si>
  <si>
    <t>Validate enrolled members</t>
  </si>
  <si>
    <t xml:space="preserve">As an agent, I am able to view members enrolled in a group in cirrus should also be displayed in ACET correctly
</t>
  </si>
  <si>
    <t>ACET  Member</t>
  </si>
  <si>
    <t>TC110</t>
  </si>
  <si>
    <t>TC111</t>
  </si>
  <si>
    <t>TC112</t>
  </si>
  <si>
    <t>TC113</t>
  </si>
  <si>
    <t>TC114</t>
  </si>
  <si>
    <t>TC115</t>
  </si>
  <si>
    <t>TC116</t>
  </si>
  <si>
    <t>TC117</t>
  </si>
  <si>
    <t>TC118</t>
  </si>
  <si>
    <t>TC119</t>
  </si>
  <si>
    <t>TC121</t>
  </si>
  <si>
    <t>TC122</t>
  </si>
  <si>
    <t>TC123</t>
  </si>
  <si>
    <t>TC124</t>
  </si>
  <si>
    <t>TC125</t>
  </si>
  <si>
    <t>TC127</t>
  </si>
  <si>
    <t>TC128</t>
  </si>
  <si>
    <t>TC129</t>
  </si>
  <si>
    <t>TC130</t>
  </si>
  <si>
    <t>TC131</t>
  </si>
  <si>
    <t>As an agent, I have the ability to view an ID card request for member</t>
  </si>
  <si>
    <t>TC132</t>
  </si>
  <si>
    <t>ACET  BEO</t>
  </si>
  <si>
    <t>TC135</t>
  </si>
  <si>
    <t>TC136</t>
  </si>
  <si>
    <t>TC137</t>
  </si>
  <si>
    <t>TC138</t>
  </si>
  <si>
    <t>ACET  Spire</t>
  </si>
  <si>
    <t>TC139</t>
  </si>
  <si>
    <t>TC140</t>
  </si>
  <si>
    <t>TC141</t>
  </si>
  <si>
    <t>TC142</t>
  </si>
  <si>
    <t>TC143</t>
  </si>
  <si>
    <t>TC144</t>
  </si>
  <si>
    <t>TC145</t>
  </si>
  <si>
    <t>TC146</t>
  </si>
  <si>
    <t>TC147</t>
  </si>
  <si>
    <t>TC148</t>
  </si>
  <si>
    <t>TC149</t>
  </si>
  <si>
    <t>TC150</t>
  </si>
  <si>
    <t>TC151</t>
  </si>
  <si>
    <t>TC152</t>
  </si>
  <si>
    <t>TC153</t>
  </si>
  <si>
    <t>TC154</t>
  </si>
  <si>
    <t>TC155</t>
  </si>
  <si>
    <t>TC156</t>
  </si>
  <si>
    <t>TC157</t>
  </si>
  <si>
    <t>TC158</t>
  </si>
  <si>
    <t>TC159</t>
  </si>
  <si>
    <t>Enrollment</t>
  </si>
  <si>
    <t>Verify that Solaris to OBM integration works correctly.</t>
  </si>
  <si>
    <t>Verify that ACIS publish sends data to ACIS.</t>
  </si>
  <si>
    <t>Verify that USP publish sends data to Cirrus.</t>
  </si>
  <si>
    <t>Verify that platform comparisons are handled appropriately.</t>
  </si>
  <si>
    <t>Verify that SACI ID is sent when ACIS and USP policies are active.</t>
  </si>
  <si>
    <t>Verify that AC2 ID is sent when multiple ACIS policies are active with USP.</t>
  </si>
  <si>
    <t>Verify that CBC ID is sent when multiple USP MG IDs are active.</t>
  </si>
  <si>
    <t>Verify that the correct External ID label is displayed in GEF based on migration scenario.</t>
  </si>
  <si>
    <t>Verify that eligibility for HMO in USP and PPO in ACIS is accessible under a single login.</t>
  </si>
  <si>
    <t>Verify that PCP selection is validated in real time in B&amp;E portal and MyUHC.</t>
  </si>
  <si>
    <t>Verify that the group is installed with Active ACIS and USP platforms via OBM. We will only see NICE connected to USP; for ACIS, we do not have access.</t>
  </si>
  <si>
    <t>Custom Riders</t>
  </si>
  <si>
    <t>Validate that the group is installed correctly with the ACIS Customer ID Number on the page under “Member Group External ID</t>
  </si>
  <si>
    <t>Verify that membership counts are accurate and not duplicated.</t>
  </si>
  <si>
    <t>Verify that a consolidated invoice displays all products.</t>
  </si>
  <si>
    <t>Verify that a single payment is processed across all products.</t>
  </si>
  <si>
    <t>Broker Commission</t>
  </si>
  <si>
    <t>Verify that a consolidated commission statement includes all products.</t>
  </si>
  <si>
    <t>Verify that brokers can access commission data with a single login.</t>
  </si>
  <si>
    <t>Verify that separate policy documents are generated for each product.</t>
  </si>
  <si>
    <t>Verify that ID cards are generated correctly for HMO members.</t>
  </si>
  <si>
    <t>TC 18</t>
  </si>
  <si>
    <t>Constituent Service</t>
  </si>
  <si>
    <t>Ensure member data accessible via ACET</t>
  </si>
  <si>
    <t>TC 19</t>
  </si>
  <si>
    <t>Validate consolidated view for employer and broker portals</t>
  </si>
  <si>
    <t>IA Changes</t>
  </si>
  <si>
    <t>As a member service advocate, when I search for a member who has coverage on a platform other than Cirrus,
I see the member’s information in the search results,
And an informational message stating “Member does not have a Cirrus plan; blank fields are expected.”</t>
  </si>
  <si>
    <t>MYUHC</t>
  </si>
  <si>
    <t>As a member, If I want to edit my PCP details, I am able to select “Change Office Location for PCP Visits” and navigate to the location selection page.</t>
  </si>
  <si>
    <t>As a member,If I want to assign my PCP to other family members, I am able to select “Assign this PCP to Other Family Members”, navigate to the location selection page, and then to the family member selection page.</t>
  </si>
  <si>
    <t>As a member, If I belong to E&amp;I NICE population, I do not see Premium Care Physician (blue heart) in provider search results or filters.</t>
  </si>
  <si>
    <t>As a member, If I change my PCP or network affiliation, I see a confirmation screen with header “Confirm primary care physician or network affiliation change”, and no Medical Group ID displayed.</t>
  </si>
  <si>
    <t>As a member, If I view a hospital’s details, I am able to see Network Affiliations in the Overview section and per location in the Locations tab, with “Not available” shown when data is missing.</t>
  </si>
  <si>
    <t>If my PCP is part of a staff model, I see “Your primary care provider (PCP)” banner for all PCPs in my network and staff location, and PCP Dashboard displays the staff model name.</t>
  </si>
  <si>
    <t>its pcp rule to assign staffmodel we can assign 5/1 eff pcp</t>
  </si>
  <si>
    <t>Reporting</t>
  </si>
  <si>
    <t>Defect ID</t>
  </si>
  <si>
    <t>Description</t>
  </si>
  <si>
    <t>Status</t>
  </si>
  <si>
    <t>Comments</t>
  </si>
  <si>
    <t>DE1221906</t>
  </si>
  <si>
    <t>NICE Rel 2 || Benefit Bundle Match error</t>
  </si>
  <si>
    <t>Closed</t>
  </si>
  <si>
    <t>DE1218502</t>
  </si>
  <si>
    <t>DSS - Rating Pop Group Creation Fails with Bundle Assembly || NICE R2</t>
  </si>
  <si>
    <t>Member not randomizing when member is enrolled via member entry and no provider is chosen and member requested is "yes" or "no"</t>
  </si>
  <si>
    <t>DE1250128</t>
  </si>
  <si>
    <t>Extract Data Missing in CloudBerry 1/13/2026</t>
  </si>
  <si>
    <t>Jawahar Soni</t>
  </si>
  <si>
    <t>Alla, Ramesh - (ramesh.alla@optum.com) is looking into it. Fixed 1/20/2026</t>
  </si>
  <si>
    <t>DE1251142</t>
  </si>
  <si>
    <t>NICE Release 2 | Smart assignment failing for Signature Harmony - Triage needed</t>
  </si>
  <si>
    <t>G Hari Prasad</t>
  </si>
  <si>
    <t xml:space="preserve">DE1252513 </t>
  </si>
  <si>
    <t>we are not able to reinstate a Member</t>
  </si>
  <si>
    <t>BnE Stopped working - Asked for the Existing Defect1/29/2026</t>
  </si>
  <si>
    <t>Bne Non Prod Team</t>
  </si>
  <si>
    <t>DE1262505</t>
  </si>
  <si>
    <t>During NICE R2 testing, the referral item appears on the Dashboard as expected. However, clicking the referral hyperlink redirects the user back to the Dashboard rather than navigating to the Referral Details view. This blocks validation of the scenario “ability to view any referrals submitted</t>
  </si>
  <si>
    <t>Janeshwar Chowdhary</t>
  </si>
  <si>
    <t>myUHC team</t>
  </si>
  <si>
    <t>DE1262522</t>
  </si>
  <si>
    <r>
      <t xml:space="preserve">Currently, the SSO functionality is </t>
    </r>
    <r>
      <rPr>
        <b/>
        <sz val="7"/>
        <color theme="1"/>
        <rFont val="Segoe UI"/>
        <family val="2"/>
      </rPr>
      <t>not working</t>
    </r>
    <r>
      <rPr>
        <sz val="7"/>
        <color theme="1"/>
        <rFont val="Segoe UI"/>
        <family val="2"/>
      </rPr>
      <t>, and the user is unable to reach the Vision Portal.</t>
    </r>
  </si>
  <si>
    <t>Member Reinstate into Cobra is Failing. Completed. 2/9/2026</t>
  </si>
  <si>
    <t>Incorrect Termination Status in BnE</t>
  </si>
  <si>
    <t>DE1275253</t>
  </si>
  <si>
    <t>Unable to Submit Claim for Cal Choice Member – “Date is out of coverage” Error Despite Valid Coverage</t>
  </si>
  <si>
    <t>Cal choice</t>
  </si>
  <si>
    <t>DE1275233</t>
  </si>
  <si>
    <t>Provider Details Not Displayed on MyUHC Home Page for Cal Choice Member</t>
  </si>
  <si>
    <t>DE1283191</t>
  </si>
  <si>
    <t>E2E PET New Business - Nice2:Unable to Move Member to COBRA</t>
  </si>
  <si>
    <t>DE1283193</t>
  </si>
  <si>
    <t>tested as part of release 1</t>
  </si>
  <si>
    <t xml:space="preserve">Bne Non Prod Team. As this is not impacting this project, Tag #US10061679 removed. </t>
  </si>
  <si>
    <t>Cirrus Claim ID: 1637442488</t>
  </si>
  <si>
    <t>DE1304848</t>
  </si>
  <si>
    <t>Samir from Renewals</t>
  </si>
  <si>
    <t>Nice Rel2 CarveOut Testing</t>
  </si>
  <si>
    <t>OBM Team: In OBM, the value is currently configured as CarveOut_OptumRx Direct; however, it should be CarveOut_OptumRxDirect. The only difference is the additional space, which needs to be corrected.
Same for Carve-Out Rx vs CarveOut_Caremark</t>
  </si>
  <si>
    <t>Nice Rel2</t>
  </si>
  <si>
    <t>INC49518867</t>
  </si>
  <si>
    <t>Update UHCBENEFITIDs for OptumRxDirect and Caremark in OBM (Nice Rel2 CarveOut Testing). 4/20/2026 Closed</t>
  </si>
  <si>
    <t>DE1309820</t>
  </si>
  <si>
    <t>DE1310222</t>
  </si>
  <si>
    <t>Medical Handbook Request Status Error: ERR62302 - ENROLL_PRO_METHOD</t>
  </si>
  <si>
    <t>Nice Rel2 CarveOut &amp; Nice 3 CaLPERS Testing</t>
  </si>
  <si>
    <t>DE1312323</t>
  </si>
  <si>
    <t>Nice 3 CaLPERS Testing</t>
  </si>
  <si>
    <t>The Member Install process is failing for OBM. On Friday, April 24, the Enhance file did not complete successfully, and as of today, April 27, the Publish file is also failing.</t>
  </si>
  <si>
    <t>Nice Rel 3 - CaLPERS - Member Install Failing with OBM 4/27/2026</t>
  </si>
  <si>
    <r>
      <t xml:space="preserve">When I trigger the action event for a member group, the Medical Handbook process errors out. The system returns the following message: ERR62302 – template requires an ENROLL_PRO_METHOD, and none was found. </t>
    </r>
    <r>
      <rPr>
        <b/>
        <sz val="11"/>
        <color rgb="FF00B050"/>
        <rFont val="Calibri"/>
        <family val="2"/>
        <scheme val="minor"/>
      </rPr>
      <t>Per Yammanuru, Vijaya B, This is working as designed. Hence closing the defect</t>
    </r>
  </si>
  <si>
    <t>Member through Astra</t>
  </si>
  <si>
    <t>Nice Rel2- CarveOut Testing: Active Member Holds: MBBG #DE1313032 opened by QIB</t>
  </si>
  <si>
    <t xml:space="preserve">Print Confirmation button missing label on Termination Confirmation page/ </t>
  </si>
  <si>
    <t>The error occurs while updating the Customer Attributes</t>
  </si>
  <si>
    <t>DE1317095</t>
  </si>
  <si>
    <t>Cirrus (Alpha) – Spring Transaction Rollback Exception/ DE1317119 - Groot to track this issue</t>
  </si>
  <si>
    <t>DE1287866</t>
  </si>
  <si>
    <t>INC48998946:-Comma are appearing in PCP field in Optum Rx Nxt Gen Application</t>
  </si>
  <si>
    <t>Nice 2 CarveOut</t>
  </si>
  <si>
    <t>This defect is assigned to Naman Sharma. It is a global issue and is not specific to any project. Development is currently in progress.</t>
  </si>
  <si>
    <t>Only shows RX is carved out with ICCOP</t>
  </si>
  <si>
    <t>DE1339524</t>
  </si>
  <si>
    <t>RX Carve Out Benefit Bundles need to be updated</t>
  </si>
  <si>
    <t>Sandia Mitchell</t>
  </si>
  <si>
    <t>DE1339546</t>
  </si>
  <si>
    <t>RX Carve Out Agate ID needs to be updated</t>
  </si>
  <si>
    <t>DE1339551</t>
  </si>
  <si>
    <t>Accum Transaction issues in OIL layer</t>
  </si>
  <si>
    <t>DE1339550</t>
  </si>
  <si>
    <t>NICE CA carveout pharmacy not flowing to downstream partners in production</t>
  </si>
  <si>
    <t>PGA4629</t>
  </si>
  <si>
    <t>PGA for DE1339550: NICE CA carveout pharmacy not flowing to downstream partners in production</t>
  </si>
  <si>
    <t>Validate all member claims and accum scenarios for RX Carveout mg and members</t>
  </si>
  <si>
    <t>This can be vlidated in R3 if enhancements are made to myuhc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</si>
</sst>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
  </numFmts>
  <fonts count="65" x14ac:knownFonts="1">
    <font>
      <sz val="11"/>
      <color theme="1"/>
      <name val="Calibri"/>
      <family val="2"/>
      <scheme val="minor"/>
    </font>
    <font>
      <b/>
      <sz val="11"/>
      <color theme="1"/>
      <name val="Calibri"/>
      <family val="2"/>
      <scheme val="minor"/>
    </font>
    <font>
      <sz val="11"/>
      <color rgb="FF000000"/>
      <name val="Calibri"/>
      <family val="2"/>
    </font>
    <font>
      <sz val="11"/>
      <name val="Calibri"/>
      <family val="2"/>
      <scheme val="minor"/>
    </font>
    <font>
      <b/>
      <sz val="10"/>
      <name val="Tahoma"/>
      <family val="2"/>
    </font>
    <font>
      <sz val="10"/>
      <name val="Arial"/>
      <family val="2"/>
    </font>
    <font>
      <b/>
      <sz val="10"/>
      <name val="Arial"/>
      <family val="2"/>
    </font>
    <font>
      <sz val="10"/>
      <color rgb="FF000000"/>
      <name val="Arial"/>
      <family val="2"/>
    </font>
    <font>
      <sz val="10"/>
      <color rgb="FFFF0000"/>
      <name val="Arial"/>
      <family val="2"/>
    </font>
    <font>
      <sz val="10"/>
      <color rgb="FFC00000"/>
      <name val="Arial"/>
      <family val="2"/>
    </font>
    <font>
      <sz val="8"/>
      <color indexed="81"/>
      <name val="Tahoma"/>
      <family val="2"/>
    </font>
    <font>
      <b/>
      <sz val="8"/>
      <color indexed="81"/>
      <name val="Tahoma"/>
      <family val="2"/>
    </font>
    <font>
      <sz val="8"/>
      <name val="Calibri"/>
      <family val="2"/>
      <scheme val="minor"/>
    </font>
    <font>
      <b/>
      <sz val="10"/>
      <color indexed="12"/>
      <name val="Arial"/>
      <family val="2"/>
    </font>
    <font>
      <sz val="10"/>
      <color theme="1"/>
      <name val="Calibri"/>
      <family val="2"/>
      <scheme val="minor"/>
    </font>
    <font>
      <b/>
      <sz val="10"/>
      <name val="Calibri"/>
      <family val="2"/>
      <scheme val="minor"/>
    </font>
    <font>
      <b/>
      <sz val="10"/>
      <color rgb="FF000000"/>
      <name val="Calibri"/>
      <family val="2"/>
      <scheme val="minor"/>
    </font>
    <font>
      <sz val="10"/>
      <name val="Calibri"/>
      <family val="2"/>
      <scheme val="minor"/>
    </font>
    <font>
      <sz val="10"/>
      <color rgb="FF000000"/>
      <name val="Calibri"/>
      <family val="2"/>
      <scheme val="minor"/>
    </font>
    <font>
      <sz val="10"/>
      <color rgb="FFFF0000"/>
      <name val="Calibri"/>
      <family val="2"/>
      <scheme val="minor"/>
    </font>
    <font>
      <sz val="12"/>
      <name val="Calibri"/>
      <family val="2"/>
      <scheme val="minor"/>
    </font>
    <font>
      <sz val="10"/>
      <color rgb="FFC00000"/>
      <name val="Calibri"/>
      <family val="2"/>
      <scheme val="minor"/>
    </font>
    <font>
      <sz val="12"/>
      <color theme="1"/>
      <name val="Calibri"/>
      <family val="2"/>
      <scheme val="minor"/>
    </font>
    <font>
      <sz val="12"/>
      <color rgb="FF0000FF"/>
      <name val="Calibri"/>
      <family val="2"/>
      <scheme val="minor"/>
    </font>
    <font>
      <sz val="11"/>
      <color rgb="FF000000"/>
      <name val="Calibri"/>
      <family val="2"/>
      <scheme val="minor"/>
    </font>
    <font>
      <sz val="11"/>
      <color rgb="FF242424"/>
      <name val="Calibri"/>
      <family val="2"/>
      <scheme val="minor"/>
    </font>
    <font>
      <b/>
      <sz val="10"/>
      <color rgb="FFFF0000"/>
      <name val="Calibri"/>
      <family val="2"/>
      <scheme val="minor"/>
    </font>
    <font>
      <sz val="11"/>
      <color rgb="FFFF0000"/>
      <name val="Calibri"/>
      <family val="2"/>
      <scheme val="minor"/>
    </font>
    <font>
      <sz val="10"/>
      <color theme="1"/>
      <name val="Arial"/>
      <family val="2"/>
    </font>
    <font>
      <sz val="12"/>
      <color theme="1"/>
      <name val="Times New Roman"/>
      <family val="1"/>
    </font>
    <font>
      <b/>
      <sz val="11"/>
      <color rgb="FF000000"/>
      <name val="Calibri"/>
      <family val="2"/>
      <scheme val="minor"/>
    </font>
    <font>
      <u/>
      <sz val="11"/>
      <color theme="10"/>
      <name val="Calibri"/>
      <family val="2"/>
      <scheme val="minor"/>
    </font>
    <font>
      <sz val="11"/>
      <color theme="5" tint="-0.249977111117893"/>
      <name val="Calibri"/>
      <family val="2"/>
      <scheme val="minor"/>
    </font>
    <font>
      <sz val="11"/>
      <color theme="1"/>
      <name val="Calibri"/>
      <family val="2"/>
    </font>
    <font>
      <sz val="12"/>
      <color theme="1"/>
      <name val="Aptos"/>
      <family val="2"/>
    </font>
    <font>
      <sz val="11"/>
      <name val="Calibri"/>
      <family val="2"/>
    </font>
    <font>
      <sz val="10"/>
      <color theme="5" tint="-0.249977111117893"/>
      <name val="Arial"/>
      <family val="2"/>
    </font>
    <font>
      <sz val="11"/>
      <color rgb="FF00B0F0"/>
      <name val="Calibri"/>
      <family val="2"/>
      <scheme val="minor"/>
    </font>
    <font>
      <sz val="10"/>
      <color rgb="FF00B0F0"/>
      <name val="Arial"/>
      <family val="2"/>
    </font>
    <font>
      <sz val="11"/>
      <color theme="5" tint="-0.249977111117893"/>
      <name val="Calibri"/>
      <family val="2"/>
    </font>
    <font>
      <sz val="11"/>
      <color rgb="FF7030A0"/>
      <name val="Calibri"/>
      <family val="2"/>
      <scheme val="minor"/>
    </font>
    <font>
      <sz val="10"/>
      <color rgb="FF7030A0"/>
      <name val="Arial"/>
      <family val="2"/>
    </font>
    <font>
      <b/>
      <sz val="10"/>
      <color theme="5" tint="-0.249977111117893"/>
      <name val="Arial"/>
      <family val="2"/>
    </font>
    <font>
      <b/>
      <sz val="12"/>
      <color theme="1"/>
      <name val="Calibri"/>
      <family val="2"/>
      <scheme val="minor"/>
    </font>
    <font>
      <b/>
      <sz val="12"/>
      <color theme="0"/>
      <name val="Calibri"/>
      <family val="2"/>
      <scheme val="minor"/>
    </font>
    <font>
      <b/>
      <sz val="14"/>
      <color theme="1"/>
      <name val="Calibri"/>
      <family val="2"/>
      <scheme val="minor"/>
    </font>
    <font>
      <b/>
      <sz val="10"/>
      <color theme="1"/>
      <name val="Calibri"/>
      <family val="2"/>
      <scheme val="minor"/>
    </font>
    <font>
      <b/>
      <sz val="11"/>
      <color rgb="FF000000"/>
      <name val="Calibri"/>
      <family val="2"/>
    </font>
    <font>
      <b/>
      <sz val="11"/>
      <name val="Calibri"/>
      <family val="2"/>
    </font>
    <font>
      <b/>
      <sz val="11"/>
      <color theme="5" tint="-0.249977111117893"/>
      <name val="Calibri"/>
      <family val="2"/>
      <scheme val="minor"/>
    </font>
    <font>
      <b/>
      <sz val="11"/>
      <color theme="4" tint="-0.249977111117893"/>
      <name val="Calibri"/>
      <family val="2"/>
      <scheme val="minor"/>
    </font>
    <font>
      <b/>
      <sz val="11"/>
      <color theme="5" tint="-0.249977111117893"/>
      <name val="Calibri"/>
      <family val="2"/>
    </font>
    <font>
      <b/>
      <sz val="11"/>
      <color theme="4" tint="-0.249977111117893"/>
      <name val="Calibri"/>
      <family val="2"/>
    </font>
    <font>
      <b/>
      <sz val="10"/>
      <color theme="4" tint="-0.249977111117893"/>
      <name val="Arial"/>
      <family val="2"/>
    </font>
    <font>
      <b/>
      <sz val="11"/>
      <color theme="7" tint="-0.249977111117893"/>
      <name val="Calibri"/>
      <family val="2"/>
    </font>
    <font>
      <b/>
      <sz val="7"/>
      <color theme="1"/>
      <name val="Segoe UI"/>
      <family val="2"/>
    </font>
    <font>
      <sz val="7"/>
      <color theme="1"/>
      <name val="Segoe UI"/>
      <family val="2"/>
    </font>
    <font>
      <b/>
      <sz val="10"/>
      <color rgb="FF000000"/>
      <name val="Calibri"/>
      <family val="2"/>
    </font>
    <font>
      <sz val="10"/>
      <color rgb="FF7030A0"/>
      <name val="Arial"/>
      <family val="2"/>
    </font>
    <font>
      <sz val="11"/>
      <color theme="1"/>
      <name val="Calibri"/>
      <family val="2"/>
    </font>
    <font>
      <sz val="10"/>
      <name val="Arial"/>
      <family val="2"/>
    </font>
    <font>
      <b/>
      <sz val="10"/>
      <name val="Tahoma"/>
      <family val="2"/>
    </font>
    <font>
      <sz val="10"/>
      <color rgb="FFC00000"/>
      <name val="Arial"/>
      <family val="2"/>
    </font>
    <font>
      <sz val="10"/>
      <color theme="5" tint="-0.249977111117893"/>
      <name val="Arial"/>
      <family val="2"/>
    </font>
    <font>
      <b/>
      <sz val="11"/>
      <color rgb="FF00B050"/>
      <name val="Calibri"/>
      <family val="2"/>
      <scheme val="minor"/>
    </font>
  </fonts>
  <fills count="21">
    <fill>
      <patternFill patternType="none"/>
    </fill>
    <fill>
      <patternFill patternType="gray125"/>
    </fill>
    <fill>
      <patternFill patternType="solid">
        <fgColor rgb="FFFFFF00"/>
        <bgColor indexed="64"/>
      </patternFill>
    </fill>
    <fill>
      <patternFill patternType="solid">
        <fgColor indexed="43"/>
        <bgColor indexed="64"/>
      </patternFill>
    </fill>
    <fill>
      <patternFill patternType="solid">
        <fgColor indexed="41"/>
        <bgColor indexed="64"/>
      </patternFill>
    </fill>
    <fill>
      <patternFill patternType="solid">
        <fgColor rgb="FFFFFFFF"/>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0"/>
        <bgColor indexed="64"/>
      </patternFill>
    </fill>
    <fill>
      <patternFill patternType="solid">
        <fgColor theme="8" tint="0.59999389629810485"/>
        <bgColor indexed="64"/>
      </patternFill>
    </fill>
    <fill>
      <patternFill patternType="solid">
        <fgColor indexed="22"/>
        <bgColor indexed="64"/>
      </patternFill>
    </fill>
    <fill>
      <patternFill patternType="solid">
        <fgColor indexed="47"/>
        <bgColor indexed="64"/>
      </patternFill>
    </fill>
    <fill>
      <patternFill patternType="solid">
        <fgColor indexed="44"/>
        <bgColor indexed="64"/>
      </patternFill>
    </fill>
    <fill>
      <patternFill patternType="solid">
        <fgColor theme="5" tint="0.59999389629810485"/>
        <bgColor indexed="64"/>
      </patternFill>
    </fill>
    <fill>
      <patternFill patternType="solid">
        <fgColor theme="8" tint="0.39997558519241921"/>
        <bgColor indexed="64"/>
      </patternFill>
    </fill>
    <fill>
      <patternFill patternType="solid">
        <fgColor theme="4" tint="0.59999389629810485"/>
        <bgColor indexed="64"/>
      </patternFill>
    </fill>
    <fill>
      <patternFill patternType="solid">
        <fgColor theme="5"/>
        <bgColor indexed="64"/>
      </patternFill>
    </fill>
    <fill>
      <patternFill patternType="solid">
        <fgColor theme="2" tint="-9.9978637043366805E-2"/>
        <bgColor indexed="64"/>
      </patternFill>
    </fill>
    <fill>
      <patternFill patternType="solid">
        <fgColor rgb="FFD9E1F2"/>
        <bgColor rgb="FFD9E1F2"/>
      </patternFill>
    </fill>
    <fill>
      <patternFill patternType="solid">
        <fgColor theme="8" tint="0.79998168889431442"/>
        <bgColor indexed="64"/>
      </patternFill>
    </fill>
    <fill>
      <patternFill patternType="solid">
        <fgColor theme="5" tint="0.7999816888943144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style="thin">
        <color indexed="64"/>
      </left>
      <right/>
      <top style="thin">
        <color indexed="64"/>
      </top>
      <bottom/>
      <diagonal/>
    </border>
  </borders>
  <cellStyleXfs count="4">
    <xf numFmtId="0" fontId="0" fillId="0" borderId="0"/>
    <xf numFmtId="0" fontId="5" fillId="0" borderId="0"/>
    <xf numFmtId="0" fontId="22" fillId="0" borderId="0"/>
    <xf numFmtId="0" fontId="31" fillId="0" borderId="0" applyNumberFormat="0" applyFill="0" applyBorder="0" applyAlignment="0" applyProtection="0"/>
  </cellStyleXfs>
  <cellXfs count="278">
    <xf numFmtId="0" fontId="0" fillId="0" borderId="0" xfId="0"/>
    <xf numFmtId="0" fontId="1" fillId="0" borderId="1" xfId="0" applyFont="1" applyBorder="1"/>
    <xf numFmtId="0" fontId="0" fillId="0" borderId="1" xfId="0" applyBorder="1"/>
    <xf numFmtId="0" fontId="0" fillId="0" borderId="1" xfId="0" applyBorder="1" applyAlignment="1">
      <alignment wrapText="1"/>
    </xf>
    <xf numFmtId="0" fontId="1" fillId="0" borderId="1" xfId="0" applyFont="1" applyBorder="1" applyAlignment="1">
      <alignment wrapText="1"/>
    </xf>
    <xf numFmtId="0" fontId="4" fillId="3" borderId="1" xfId="0" applyFont="1" applyFill="1" applyBorder="1" applyAlignment="1">
      <alignment horizontal="left" vertical="top" wrapText="1"/>
    </xf>
    <xf numFmtId="0" fontId="4" fillId="4" borderId="1" xfId="0" applyFont="1" applyFill="1" applyBorder="1" applyAlignment="1">
      <alignment horizontal="left" vertical="top" wrapText="1"/>
    </xf>
    <xf numFmtId="49" fontId="4" fillId="4" borderId="1" xfId="0" applyNumberFormat="1" applyFont="1" applyFill="1" applyBorder="1" applyAlignment="1">
      <alignment horizontal="left" vertical="top" wrapText="1"/>
    </xf>
    <xf numFmtId="0" fontId="4" fillId="4" borderId="6" xfId="0" applyFont="1" applyFill="1" applyBorder="1" applyAlignment="1">
      <alignment horizontal="left" vertical="top" wrapText="1"/>
    </xf>
    <xf numFmtId="0" fontId="4" fillId="4" borderId="4" xfId="0" applyFont="1" applyFill="1" applyBorder="1" applyAlignment="1">
      <alignment horizontal="left" vertical="top" wrapText="1"/>
    </xf>
    <xf numFmtId="0" fontId="5" fillId="5" borderId="1" xfId="0" applyFont="1" applyFill="1" applyBorder="1" applyAlignment="1">
      <alignment wrapText="1"/>
    </xf>
    <xf numFmtId="0" fontId="5" fillId="0" borderId="1" xfId="0" applyFont="1" applyBorder="1" applyAlignment="1">
      <alignment horizontal="left" vertical="top" wrapText="1"/>
    </xf>
    <xf numFmtId="0" fontId="7" fillId="6" borderId="1" xfId="0" applyFont="1" applyFill="1" applyBorder="1" applyAlignment="1">
      <alignment wrapText="1"/>
    </xf>
    <xf numFmtId="49" fontId="5" fillId="0" borderId="1" xfId="0" applyNumberFormat="1" applyFont="1" applyBorder="1" applyAlignment="1">
      <alignment horizontal="left" vertical="top" wrapText="1"/>
    </xf>
    <xf numFmtId="0" fontId="8" fillId="0" borderId="1" xfId="0" applyFont="1" applyBorder="1" applyAlignment="1">
      <alignment horizontal="left" vertical="top" wrapText="1"/>
    </xf>
    <xf numFmtId="0" fontId="5" fillId="0" borderId="1" xfId="0" applyFont="1" applyBorder="1" applyAlignment="1">
      <alignment horizontal="left" vertical="center" wrapText="1"/>
    </xf>
    <xf numFmtId="0" fontId="5" fillId="0" borderId="1" xfId="0" applyFont="1" applyBorder="1" applyAlignment="1">
      <alignment vertical="center" wrapText="1"/>
    </xf>
    <xf numFmtId="0" fontId="9" fillId="0" borderId="1" xfId="0" applyFont="1" applyBorder="1" applyAlignment="1">
      <alignment horizontal="left" vertical="top" wrapText="1"/>
    </xf>
    <xf numFmtId="0" fontId="0" fillId="0" borderId="1" xfId="0" applyBorder="1" applyAlignment="1">
      <alignment vertical="top" wrapText="1"/>
    </xf>
    <xf numFmtId="49" fontId="0" fillId="0" borderId="1" xfId="0" applyNumberFormat="1" applyBorder="1" applyAlignment="1">
      <alignment horizontal="left" vertical="top" wrapText="1"/>
    </xf>
    <xf numFmtId="0" fontId="5" fillId="0" borderId="1" xfId="0" applyFont="1" applyBorder="1" applyAlignment="1">
      <alignment wrapText="1"/>
    </xf>
    <xf numFmtId="0" fontId="6" fillId="0" borderId="1" xfId="0" applyFont="1" applyBorder="1" applyAlignment="1">
      <alignment wrapText="1"/>
    </xf>
    <xf numFmtId="0" fontId="4" fillId="7" borderId="1" xfId="0" applyFont="1" applyFill="1" applyBorder="1" applyAlignment="1">
      <alignment horizontal="left" vertical="top" wrapText="1"/>
    </xf>
    <xf numFmtId="0" fontId="4" fillId="9" borderId="1" xfId="0" applyFont="1" applyFill="1" applyBorder="1" applyAlignment="1">
      <alignment horizontal="left" vertical="top" wrapText="1"/>
    </xf>
    <xf numFmtId="0" fontId="0" fillId="2" borderId="1" xfId="0" applyFill="1" applyBorder="1" applyAlignment="1">
      <alignment wrapText="1"/>
    </xf>
    <xf numFmtId="49" fontId="5" fillId="0" borderId="2" xfId="0" applyNumberFormat="1" applyFont="1" applyBorder="1" applyAlignment="1">
      <alignment horizontal="left" vertical="top" wrapText="1"/>
    </xf>
    <xf numFmtId="49" fontId="0" fillId="0" borderId="2" xfId="0" applyNumberFormat="1" applyBorder="1" applyAlignment="1">
      <alignment horizontal="left" vertical="top" wrapText="1"/>
    </xf>
    <xf numFmtId="0" fontId="0" fillId="0" borderId="0" xfId="0" applyAlignment="1">
      <alignment horizontal="center"/>
    </xf>
    <xf numFmtId="0" fontId="6" fillId="3" borderId="1" xfId="0" applyFont="1" applyFill="1" applyBorder="1" applyAlignment="1">
      <alignment horizontal="center"/>
    </xf>
    <xf numFmtId="0" fontId="6" fillId="4" borderId="1" xfId="0" applyFont="1" applyFill="1" applyBorder="1" applyAlignment="1">
      <alignment horizontal="center"/>
    </xf>
    <xf numFmtId="0" fontId="6" fillId="10" borderId="1" xfId="0" applyFont="1" applyFill="1" applyBorder="1"/>
    <xf numFmtId="0" fontId="5" fillId="0" borderId="1" xfId="0" applyFont="1" applyBorder="1" applyAlignment="1">
      <alignment horizontal="center"/>
    </xf>
    <xf numFmtId="0" fontId="0" fillId="4" borderId="1" xfId="0" applyFill="1" applyBorder="1" applyAlignment="1">
      <alignment horizontal="center"/>
    </xf>
    <xf numFmtId="0" fontId="5" fillId="0" borderId="0" xfId="0" applyFont="1"/>
    <xf numFmtId="0" fontId="0" fillId="11" borderId="1" xfId="0" applyFill="1" applyBorder="1" applyAlignment="1">
      <alignment horizontal="right"/>
    </xf>
    <xf numFmtId="0" fontId="13" fillId="11" borderId="1" xfId="0" applyFont="1" applyFill="1" applyBorder="1" applyAlignment="1">
      <alignment horizontal="center"/>
    </xf>
    <xf numFmtId="0" fontId="6" fillId="12" borderId="1" xfId="1" applyFont="1" applyFill="1" applyBorder="1" applyAlignment="1">
      <alignment horizontal="center" wrapText="1"/>
    </xf>
    <xf numFmtId="0" fontId="6" fillId="13" borderId="1" xfId="1" applyFont="1" applyFill="1" applyBorder="1" applyAlignment="1">
      <alignment horizontal="center" wrapText="1"/>
    </xf>
    <xf numFmtId="1" fontId="3" fillId="0" borderId="1" xfId="0" applyNumberFormat="1" applyFont="1" applyBorder="1" applyAlignment="1">
      <alignment horizontal="center" vertical="center"/>
    </xf>
    <xf numFmtId="1" fontId="1" fillId="0" borderId="1" xfId="0" applyNumberFormat="1" applyFont="1" applyBorder="1" applyAlignment="1">
      <alignment horizontal="center" vertical="center"/>
    </xf>
    <xf numFmtId="164" fontId="0" fillId="0" borderId="1" xfId="0" applyNumberFormat="1" applyBorder="1" applyAlignment="1">
      <alignment horizontal="center" vertical="center"/>
    </xf>
    <xf numFmtId="14" fontId="2" fillId="0" borderId="1" xfId="0" applyNumberFormat="1" applyFont="1" applyBorder="1" applyAlignment="1">
      <alignment horizontal="center" vertical="center" wrapText="1"/>
    </xf>
    <xf numFmtId="14" fontId="3" fillId="8" borderId="1" xfId="0" applyNumberFormat="1" applyFont="1" applyFill="1" applyBorder="1" applyAlignment="1">
      <alignment horizontal="center" vertical="center" wrapText="1"/>
    </xf>
    <xf numFmtId="0" fontId="3" fillId="8" borderId="1" xfId="0" applyFont="1" applyFill="1" applyBorder="1" applyAlignment="1">
      <alignment horizontal="center" vertical="center" wrapText="1"/>
    </xf>
    <xf numFmtId="1" fontId="1" fillId="2" borderId="1" xfId="0" applyNumberFormat="1" applyFont="1" applyFill="1" applyBorder="1"/>
    <xf numFmtId="164" fontId="0" fillId="2" borderId="1" xfId="0" applyNumberFormat="1" applyFill="1" applyBorder="1"/>
    <xf numFmtId="0" fontId="0" fillId="2" borderId="1" xfId="0" applyFill="1" applyBorder="1"/>
    <xf numFmtId="0" fontId="1" fillId="0" borderId="0" xfId="0" applyFont="1"/>
    <xf numFmtId="0" fontId="2" fillId="0" borderId="1" xfId="0" applyFont="1" applyBorder="1" applyAlignment="1">
      <alignment wrapText="1"/>
    </xf>
    <xf numFmtId="0" fontId="2" fillId="0" borderId="3" xfId="0" applyFont="1" applyBorder="1" applyAlignment="1">
      <alignment wrapText="1"/>
    </xf>
    <xf numFmtId="0" fontId="2" fillId="0" borderId="5" xfId="0" applyFont="1" applyBorder="1" applyAlignment="1">
      <alignment wrapText="1"/>
    </xf>
    <xf numFmtId="0" fontId="2" fillId="0" borderId="7" xfId="0" applyFont="1" applyBorder="1" applyAlignment="1">
      <alignment wrapText="1"/>
    </xf>
    <xf numFmtId="0" fontId="0" fillId="14" borderId="1" xfId="0" applyFill="1" applyBorder="1"/>
    <xf numFmtId="0" fontId="14" fillId="0" borderId="1" xfId="0" applyFont="1" applyBorder="1" applyAlignment="1">
      <alignment wrapText="1"/>
    </xf>
    <xf numFmtId="49" fontId="14" fillId="0" borderId="2" xfId="0" applyNumberFormat="1" applyFont="1" applyBorder="1" applyAlignment="1">
      <alignment horizontal="left" vertical="top" wrapText="1"/>
    </xf>
    <xf numFmtId="0" fontId="14" fillId="2" borderId="1" xfId="0" applyFont="1" applyFill="1" applyBorder="1" applyAlignment="1">
      <alignment wrapText="1"/>
    </xf>
    <xf numFmtId="0" fontId="14" fillId="0" borderId="1" xfId="0" applyFont="1" applyBorder="1" applyAlignment="1">
      <alignment vertical="top" wrapText="1"/>
    </xf>
    <xf numFmtId="0" fontId="14" fillId="0" borderId="0" xfId="0" applyFont="1"/>
    <xf numFmtId="0" fontId="15" fillId="3" borderId="1" xfId="0" applyFont="1" applyFill="1" applyBorder="1" applyAlignment="1">
      <alignment horizontal="left" vertical="top" wrapText="1"/>
    </xf>
    <xf numFmtId="0" fontId="15" fillId="4" borderId="1" xfId="0" applyFont="1" applyFill="1" applyBorder="1" applyAlignment="1">
      <alignment horizontal="left" vertical="top" wrapText="1"/>
    </xf>
    <xf numFmtId="49" fontId="15" fillId="4" borderId="1" xfId="0" applyNumberFormat="1" applyFont="1" applyFill="1" applyBorder="1" applyAlignment="1">
      <alignment horizontal="left" vertical="top" wrapText="1"/>
    </xf>
    <xf numFmtId="0" fontId="15" fillId="4" borderId="6" xfId="0" applyFont="1" applyFill="1" applyBorder="1" applyAlignment="1">
      <alignment horizontal="left" vertical="top" wrapText="1"/>
    </xf>
    <xf numFmtId="0" fontId="15" fillId="4" borderId="4" xfId="0" applyFont="1" applyFill="1" applyBorder="1" applyAlignment="1">
      <alignment horizontal="left" vertical="top" wrapText="1"/>
    </xf>
    <xf numFmtId="0" fontId="16" fillId="6" borderId="1" xfId="0" applyFont="1" applyFill="1" applyBorder="1" applyAlignment="1">
      <alignment wrapText="1"/>
    </xf>
    <xf numFmtId="0" fontId="17" fillId="0" borderId="1" xfId="0" applyFont="1" applyBorder="1" applyAlignment="1">
      <alignment horizontal="left" vertical="top" wrapText="1"/>
    </xf>
    <xf numFmtId="0" fontId="15" fillId="7" borderId="1" xfId="0" applyFont="1" applyFill="1" applyBorder="1" applyAlignment="1">
      <alignment horizontal="left" vertical="top" wrapText="1"/>
    </xf>
    <xf numFmtId="0" fontId="15" fillId="9" borderId="1" xfId="0" applyFont="1" applyFill="1" applyBorder="1" applyAlignment="1">
      <alignment horizontal="left" vertical="top" wrapText="1"/>
    </xf>
    <xf numFmtId="0" fontId="17" fillId="0" borderId="1" xfId="0" applyFont="1" applyBorder="1" applyAlignment="1">
      <alignment wrapText="1"/>
    </xf>
    <xf numFmtId="0" fontId="17" fillId="5" borderId="1" xfId="0" applyFont="1" applyFill="1" applyBorder="1" applyAlignment="1">
      <alignment wrapText="1"/>
    </xf>
    <xf numFmtId="0" fontId="18" fillId="6" borderId="1" xfId="0" applyFont="1" applyFill="1" applyBorder="1" applyAlignment="1">
      <alignment wrapText="1"/>
    </xf>
    <xf numFmtId="0" fontId="15" fillId="0" borderId="1" xfId="0" applyFont="1" applyBorder="1" applyAlignment="1">
      <alignment horizontal="left" vertical="center" wrapText="1"/>
    </xf>
    <xf numFmtId="49" fontId="17" fillId="0" borderId="2" xfId="0" applyNumberFormat="1" applyFont="1" applyBorder="1" applyAlignment="1">
      <alignment horizontal="left" vertical="top" wrapText="1"/>
    </xf>
    <xf numFmtId="49" fontId="17" fillId="0" borderId="1" xfId="0" applyNumberFormat="1" applyFont="1" applyBorder="1" applyAlignment="1">
      <alignment horizontal="left" vertical="top" wrapText="1"/>
    </xf>
    <xf numFmtId="0" fontId="19" fillId="0" borderId="1" xfId="0" applyFont="1" applyBorder="1" applyAlignment="1">
      <alignment horizontal="left" vertical="top" wrapText="1"/>
    </xf>
    <xf numFmtId="0" fontId="15" fillId="2" borderId="1" xfId="0" applyFont="1" applyFill="1" applyBorder="1" applyAlignment="1">
      <alignment horizontal="left" vertical="center" wrapText="1"/>
    </xf>
    <xf numFmtId="49" fontId="20" fillId="0" borderId="1" xfId="0" applyNumberFormat="1" applyFont="1" applyBorder="1" applyAlignment="1">
      <alignment horizontal="left" vertical="top" wrapText="1"/>
    </xf>
    <xf numFmtId="0" fontId="17" fillId="0" borderId="1" xfId="0" applyFont="1" applyBorder="1" applyAlignment="1">
      <alignment horizontal="left" vertical="center" wrapText="1"/>
    </xf>
    <xf numFmtId="0" fontId="17" fillId="0" borderId="1" xfId="0" applyFont="1" applyBorder="1" applyAlignment="1">
      <alignment vertical="center" wrapText="1"/>
    </xf>
    <xf numFmtId="0" fontId="21" fillId="0" borderId="1" xfId="0" applyFont="1" applyBorder="1" applyAlignment="1">
      <alignment horizontal="left" vertical="top" wrapText="1"/>
    </xf>
    <xf numFmtId="0" fontId="0" fillId="0" borderId="1" xfId="0" applyBorder="1" applyAlignment="1">
      <alignment vertical="center" wrapText="1"/>
    </xf>
    <xf numFmtId="49" fontId="22" fillId="0" borderId="1" xfId="0" applyNumberFormat="1" applyFont="1" applyBorder="1" applyAlignment="1">
      <alignment horizontal="left" vertical="top" wrapText="1"/>
    </xf>
    <xf numFmtId="0" fontId="15" fillId="0" borderId="1" xfId="0" applyFont="1" applyBorder="1" applyAlignment="1">
      <alignment wrapText="1"/>
    </xf>
    <xf numFmtId="49" fontId="20" fillId="0" borderId="1" xfId="0" applyNumberFormat="1" applyFont="1" applyBorder="1" applyAlignment="1">
      <alignment wrapText="1"/>
    </xf>
    <xf numFmtId="0" fontId="16" fillId="0" borderId="1" xfId="0" applyFont="1" applyBorder="1" applyAlignment="1">
      <alignment wrapText="1"/>
    </xf>
    <xf numFmtId="0" fontId="15" fillId="0" borderId="1" xfId="0" applyFont="1" applyBorder="1" applyAlignment="1">
      <alignment horizontal="left" vertical="top" wrapText="1"/>
    </xf>
    <xf numFmtId="0" fontId="18" fillId="0" borderId="1" xfId="0" applyFont="1" applyBorder="1" applyAlignment="1">
      <alignment wrapText="1"/>
    </xf>
    <xf numFmtId="0" fontId="21" fillId="2" borderId="1" xfId="0" applyFont="1" applyFill="1" applyBorder="1" applyAlignment="1">
      <alignment horizontal="left" vertical="top" wrapText="1"/>
    </xf>
    <xf numFmtId="0" fontId="17" fillId="2" borderId="1" xfId="0" applyFont="1" applyFill="1" applyBorder="1" applyAlignment="1">
      <alignment horizontal="left" vertical="top" wrapText="1"/>
    </xf>
    <xf numFmtId="0" fontId="15" fillId="2" borderId="1" xfId="0" applyFont="1" applyFill="1" applyBorder="1" applyAlignment="1">
      <alignment horizontal="left" vertical="top" wrapText="1"/>
    </xf>
    <xf numFmtId="0" fontId="17" fillId="2" borderId="1" xfId="0" applyFont="1" applyFill="1" applyBorder="1" applyAlignment="1">
      <alignment wrapText="1"/>
    </xf>
    <xf numFmtId="49" fontId="17" fillId="2" borderId="2" xfId="0" applyNumberFormat="1" applyFont="1" applyFill="1" applyBorder="1" applyAlignment="1">
      <alignment horizontal="left" vertical="top" wrapText="1"/>
    </xf>
    <xf numFmtId="49" fontId="17" fillId="2" borderId="1" xfId="0" applyNumberFormat="1" applyFont="1" applyFill="1" applyBorder="1" applyAlignment="1">
      <alignment horizontal="left" vertical="top" wrapText="1"/>
    </xf>
    <xf numFmtId="0" fontId="0" fillId="2" borderId="0" xfId="0" applyFill="1"/>
    <xf numFmtId="0" fontId="17" fillId="0" borderId="1" xfId="0" applyFont="1" applyBorder="1" applyAlignment="1">
      <alignment vertical="top" wrapText="1"/>
    </xf>
    <xf numFmtId="0" fontId="15" fillId="0" borderId="1" xfId="0" applyFont="1" applyBorder="1" applyAlignment="1">
      <alignment vertical="top" wrapText="1"/>
    </xf>
    <xf numFmtId="0" fontId="23" fillId="0" borderId="1" xfId="0" applyFont="1" applyBorder="1" applyAlignment="1">
      <alignment wrapText="1"/>
    </xf>
    <xf numFmtId="0" fontId="15" fillId="3" borderId="2" xfId="0" applyFont="1" applyFill="1" applyBorder="1" applyAlignment="1">
      <alignment horizontal="left" vertical="top" wrapText="1"/>
    </xf>
    <xf numFmtId="0" fontId="15" fillId="7" borderId="1" xfId="0" applyFont="1" applyFill="1" applyBorder="1" applyAlignment="1">
      <alignment horizontal="left" vertical="center" wrapText="1"/>
    </xf>
    <xf numFmtId="49" fontId="15" fillId="0" borderId="1" xfId="0" applyNumberFormat="1" applyFont="1" applyBorder="1" applyAlignment="1">
      <alignment horizontal="left" vertical="top" wrapText="1"/>
    </xf>
    <xf numFmtId="0" fontId="17" fillId="5" borderId="1" xfId="0" applyFont="1" applyFill="1" applyBorder="1" applyAlignment="1">
      <alignment horizontal="left" vertical="top" wrapText="1"/>
    </xf>
    <xf numFmtId="0" fontId="17" fillId="5" borderId="2" xfId="0" applyFont="1" applyFill="1" applyBorder="1" applyAlignment="1">
      <alignment horizontal="left" vertical="top" wrapText="1"/>
    </xf>
    <xf numFmtId="0" fontId="17" fillId="0" borderId="3" xfId="0" applyFont="1" applyBorder="1" applyAlignment="1">
      <alignment horizontal="left" vertical="top" wrapText="1"/>
    </xf>
    <xf numFmtId="0" fontId="24" fillId="0" borderId="1" xfId="0" applyFont="1" applyBorder="1" applyAlignment="1">
      <alignment horizontal="right" vertical="center"/>
    </xf>
    <xf numFmtId="0" fontId="0" fillId="0" borderId="3" xfId="0" applyBorder="1"/>
    <xf numFmtId="165" fontId="0" fillId="0" borderId="1" xfId="0" applyNumberFormat="1" applyBorder="1"/>
    <xf numFmtId="49" fontId="17" fillId="0" borderId="1" xfId="0" applyNumberFormat="1" applyFont="1" applyBorder="1" applyAlignment="1">
      <alignment wrapText="1"/>
    </xf>
    <xf numFmtId="0" fontId="0" fillId="0" borderId="0" xfId="0" applyAlignment="1">
      <alignment wrapText="1"/>
    </xf>
    <xf numFmtId="0" fontId="18" fillId="5" borderId="1" xfId="0" applyFont="1" applyFill="1" applyBorder="1" applyAlignment="1">
      <alignment wrapText="1"/>
    </xf>
    <xf numFmtId="0" fontId="1" fillId="2" borderId="1" xfId="0" applyFont="1" applyFill="1" applyBorder="1"/>
    <xf numFmtId="0" fontId="25" fillId="0" borderId="1" xfId="0" applyFont="1" applyBorder="1" applyAlignment="1">
      <alignment horizontal="left" vertical="top"/>
    </xf>
    <xf numFmtId="0" fontId="26" fillId="0" borderId="1" xfId="0" applyFont="1" applyBorder="1" applyAlignment="1">
      <alignment wrapText="1"/>
    </xf>
    <xf numFmtId="0" fontId="6" fillId="2" borderId="1" xfId="0" applyFont="1" applyFill="1" applyBorder="1" applyAlignment="1">
      <alignment horizontal="left" vertical="center" wrapText="1"/>
    </xf>
    <xf numFmtId="0" fontId="4" fillId="0" borderId="1" xfId="0" applyFont="1" applyBorder="1" applyAlignment="1">
      <alignment horizontal="left" vertical="top" wrapText="1"/>
    </xf>
    <xf numFmtId="0" fontId="6" fillId="0" borderId="1" xfId="0" applyFont="1" applyBorder="1" applyAlignment="1">
      <alignment horizontal="left" vertical="center" wrapText="1"/>
    </xf>
    <xf numFmtId="0" fontId="28" fillId="0" borderId="1" xfId="0" applyFont="1" applyBorder="1" applyAlignment="1">
      <alignment wrapText="1"/>
    </xf>
    <xf numFmtId="0" fontId="29" fillId="0" borderId="1" xfId="0" applyFont="1" applyBorder="1"/>
    <xf numFmtId="49" fontId="29" fillId="0" borderId="1" xfId="0" applyNumberFormat="1" applyFont="1" applyBorder="1" applyAlignment="1">
      <alignment horizontal="left" vertical="top" wrapText="1"/>
    </xf>
    <xf numFmtId="0" fontId="14" fillId="0" borderId="0" xfId="0" applyFont="1" applyAlignment="1">
      <alignment wrapText="1"/>
    </xf>
    <xf numFmtId="0" fontId="24" fillId="0" borderId="1" xfId="0" applyFont="1" applyBorder="1" applyAlignment="1">
      <alignment wrapText="1"/>
    </xf>
    <xf numFmtId="0" fontId="31" fillId="0" borderId="1" xfId="3" applyBorder="1" applyAlignment="1">
      <alignment horizontal="left" vertical="top" wrapText="1"/>
    </xf>
    <xf numFmtId="0" fontId="32" fillId="0" borderId="1" xfId="0" applyFont="1" applyBorder="1"/>
    <xf numFmtId="0" fontId="33" fillId="0" borderId="1" xfId="0" applyFont="1" applyBorder="1" applyAlignment="1">
      <alignment wrapText="1"/>
    </xf>
    <xf numFmtId="0" fontId="0" fillId="16" borderId="1" xfId="0" applyFill="1" applyBorder="1" applyAlignment="1">
      <alignment wrapText="1"/>
    </xf>
    <xf numFmtId="49" fontId="17" fillId="16" borderId="1" xfId="0" applyNumberFormat="1" applyFont="1" applyFill="1" applyBorder="1" applyAlignment="1">
      <alignment horizontal="left" vertical="top" wrapText="1"/>
    </xf>
    <xf numFmtId="0" fontId="0" fillId="16" borderId="1" xfId="0" applyFill="1" applyBorder="1"/>
    <xf numFmtId="0" fontId="27" fillId="0" borderId="1" xfId="0" applyFont="1" applyBorder="1" applyAlignment="1">
      <alignment wrapText="1"/>
    </xf>
    <xf numFmtId="0" fontId="7" fillId="0" borderId="1" xfId="0" applyFont="1" applyBorder="1" applyAlignment="1">
      <alignment wrapText="1"/>
    </xf>
    <xf numFmtId="0" fontId="33" fillId="0" borderId="4" xfId="0" applyFont="1" applyBorder="1" applyAlignment="1">
      <alignment horizontal="left" vertical="top" wrapText="1"/>
    </xf>
    <xf numFmtId="0" fontId="33" fillId="15" borderId="1" xfId="0" applyFont="1" applyFill="1" applyBorder="1" applyAlignment="1">
      <alignment wrapText="1"/>
    </xf>
    <xf numFmtId="49" fontId="5" fillId="0" borderId="1" xfId="0" applyNumberFormat="1" applyFont="1" applyBorder="1" applyAlignment="1">
      <alignment wrapText="1"/>
    </xf>
    <xf numFmtId="0" fontId="34" fillId="0" borderId="0" xfId="0" applyFont="1"/>
    <xf numFmtId="0" fontId="0" fillId="0" borderId="1" xfId="0" applyBorder="1" applyAlignment="1">
      <alignment horizontal="left" vertical="center" wrapText="1"/>
    </xf>
    <xf numFmtId="0" fontId="0" fillId="0" borderId="4" xfId="0" applyBorder="1" applyAlignment="1">
      <alignment horizontal="left" vertical="center" wrapText="1"/>
    </xf>
    <xf numFmtId="165" fontId="0" fillId="0" borderId="0" xfId="0" applyNumberFormat="1"/>
    <xf numFmtId="0" fontId="35" fillId="0" borderId="1" xfId="0" applyFont="1" applyBorder="1" applyAlignment="1">
      <alignment wrapText="1"/>
    </xf>
    <xf numFmtId="0" fontId="0" fillId="0" borderId="2" xfId="0" applyBorder="1" applyAlignment="1">
      <alignment wrapText="1"/>
    </xf>
    <xf numFmtId="0" fontId="0" fillId="6" borderId="1" xfId="0" applyFill="1" applyBorder="1"/>
    <xf numFmtId="0" fontId="0" fillId="2" borderId="1" xfId="0" applyFill="1" applyBorder="1" applyAlignment="1">
      <alignment horizontal="center" vertical="center" wrapText="1"/>
    </xf>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8" xfId="0" applyBorder="1" applyAlignment="1">
      <alignment wrapText="1"/>
    </xf>
    <xf numFmtId="0" fontId="32" fillId="0" borderId="2" xfId="0" applyFont="1" applyBorder="1" applyAlignment="1">
      <alignment wrapText="1"/>
    </xf>
    <xf numFmtId="49" fontId="36" fillId="0" borderId="2" xfId="0" applyNumberFormat="1" applyFont="1" applyBorder="1" applyAlignment="1">
      <alignment horizontal="left" vertical="top" wrapText="1"/>
    </xf>
    <xf numFmtId="49" fontId="36" fillId="0" borderId="1" xfId="0" applyNumberFormat="1" applyFont="1" applyBorder="1" applyAlignment="1">
      <alignment horizontal="left" vertical="top" wrapText="1"/>
    </xf>
    <xf numFmtId="0" fontId="36" fillId="0" borderId="1" xfId="0" applyFont="1" applyBorder="1" applyAlignment="1">
      <alignment horizontal="left" vertical="top" wrapText="1"/>
    </xf>
    <xf numFmtId="16" fontId="36" fillId="0" borderId="1" xfId="0" applyNumberFormat="1" applyFont="1" applyBorder="1" applyAlignment="1">
      <alignment horizontal="left" vertical="top" wrapText="1"/>
    </xf>
    <xf numFmtId="0" fontId="37" fillId="0" borderId="2" xfId="0" applyFont="1" applyBorder="1" applyAlignment="1">
      <alignment wrapText="1"/>
    </xf>
    <xf numFmtId="49" fontId="38" fillId="0" borderId="2" xfId="0" applyNumberFormat="1" applyFont="1" applyBorder="1" applyAlignment="1">
      <alignment horizontal="left" vertical="top" wrapText="1"/>
    </xf>
    <xf numFmtId="49" fontId="38" fillId="0" borderId="1" xfId="0" applyNumberFormat="1" applyFont="1" applyBorder="1" applyAlignment="1">
      <alignment horizontal="left" vertical="top" wrapText="1"/>
    </xf>
    <xf numFmtId="0" fontId="37" fillId="0" borderId="1" xfId="0" applyFont="1" applyBorder="1"/>
    <xf numFmtId="0" fontId="38" fillId="0" borderId="1" xfId="0" applyFont="1" applyBorder="1" applyAlignment="1">
      <alignment horizontal="left" vertical="top" wrapText="1"/>
    </xf>
    <xf numFmtId="0" fontId="39" fillId="0" borderId="1" xfId="0" applyFont="1" applyBorder="1" applyAlignment="1">
      <alignment wrapText="1"/>
    </xf>
    <xf numFmtId="0" fontId="36" fillId="0" borderId="2" xfId="0" applyFont="1" applyBorder="1" applyAlignment="1">
      <alignment horizontal="left" vertical="top" wrapText="1"/>
    </xf>
    <xf numFmtId="0" fontId="36" fillId="0" borderId="3" xfId="0" applyFont="1" applyBorder="1" applyAlignment="1">
      <alignment horizontal="left" vertical="top" wrapText="1"/>
    </xf>
    <xf numFmtId="0" fontId="32" fillId="0" borderId="10" xfId="0" applyFont="1" applyBorder="1" applyAlignment="1">
      <alignment wrapText="1"/>
    </xf>
    <xf numFmtId="0" fontId="32" fillId="0" borderId="0" xfId="0" applyFont="1"/>
    <xf numFmtId="0" fontId="0" fillId="0" borderId="10" xfId="0" applyBorder="1" applyAlignment="1">
      <alignment wrapText="1"/>
    </xf>
    <xf numFmtId="49" fontId="28" fillId="0" borderId="2" xfId="0" applyNumberFormat="1" applyFont="1" applyBorder="1" applyAlignment="1">
      <alignment horizontal="left" vertical="top" wrapText="1"/>
    </xf>
    <xf numFmtId="49" fontId="28" fillId="0" borderId="1" xfId="0" applyNumberFormat="1" applyFont="1" applyBorder="1" applyAlignment="1">
      <alignment horizontal="left" vertical="top" wrapText="1"/>
    </xf>
    <xf numFmtId="0" fontId="37" fillId="0" borderId="0" xfId="0" applyFont="1"/>
    <xf numFmtId="0" fontId="38" fillId="0" borderId="0" xfId="0" applyFont="1" applyAlignment="1">
      <alignment horizontal="left" vertical="top" wrapText="1"/>
    </xf>
    <xf numFmtId="0" fontId="37" fillId="0" borderId="0" xfId="0" applyFont="1" applyAlignment="1">
      <alignment wrapText="1"/>
    </xf>
    <xf numFmtId="0" fontId="40" fillId="0" borderId="2" xfId="0" applyFont="1" applyBorder="1" applyAlignment="1">
      <alignment wrapText="1"/>
    </xf>
    <xf numFmtId="49" fontId="41" fillId="0" borderId="2" xfId="0" applyNumberFormat="1" applyFont="1" applyBorder="1" applyAlignment="1">
      <alignment horizontal="left" vertical="top" wrapText="1"/>
    </xf>
    <xf numFmtId="49" fontId="41" fillId="0" borderId="1" xfId="0" applyNumberFormat="1" applyFont="1" applyBorder="1" applyAlignment="1">
      <alignment horizontal="left" vertical="top" wrapText="1"/>
    </xf>
    <xf numFmtId="0" fontId="38" fillId="0" borderId="1" xfId="0" applyFont="1" applyBorder="1" applyAlignment="1">
      <alignment vertical="center" wrapText="1"/>
    </xf>
    <xf numFmtId="0" fontId="44" fillId="13" borderId="1" xfId="0" applyFont="1" applyFill="1" applyBorder="1" applyAlignment="1">
      <alignment wrapText="1"/>
    </xf>
    <xf numFmtId="0" fontId="43" fillId="13" borderId="1" xfId="0" applyFont="1" applyFill="1" applyBorder="1" applyAlignment="1">
      <alignment horizontal="left" wrapText="1"/>
    </xf>
    <xf numFmtId="0" fontId="43" fillId="13" borderId="1" xfId="0" applyFont="1" applyFill="1" applyBorder="1" applyAlignment="1">
      <alignment wrapText="1"/>
    </xf>
    <xf numFmtId="0" fontId="1" fillId="13" borderId="1" xfId="0" applyFont="1" applyFill="1" applyBorder="1" applyAlignment="1">
      <alignment horizontal="left" wrapText="1"/>
    </xf>
    <xf numFmtId="0" fontId="0" fillId="13" borderId="1" xfId="0" applyFill="1" applyBorder="1" applyAlignment="1">
      <alignment wrapText="1"/>
    </xf>
    <xf numFmtId="0" fontId="1" fillId="13" borderId="1" xfId="0" applyFont="1" applyFill="1" applyBorder="1" applyAlignment="1">
      <alignment horizontal="center" wrapText="1"/>
    </xf>
    <xf numFmtId="0" fontId="22" fillId="0" borderId="1" xfId="0" applyFont="1" applyBorder="1" applyAlignment="1">
      <alignment wrapText="1"/>
    </xf>
    <xf numFmtId="0" fontId="0" fillId="13" borderId="1" xfId="0" applyFill="1" applyBorder="1"/>
    <xf numFmtId="0" fontId="46" fillId="0" borderId="1" xfId="0" applyFont="1" applyBorder="1" applyAlignment="1">
      <alignment horizontal="left" vertical="top" wrapText="1"/>
    </xf>
    <xf numFmtId="0" fontId="46" fillId="9" borderId="1" xfId="0" applyFont="1" applyFill="1" applyBorder="1" applyAlignment="1">
      <alignment horizontal="left" vertical="top" wrapText="1"/>
    </xf>
    <xf numFmtId="0" fontId="14" fillId="0" borderId="1" xfId="0" applyFont="1" applyBorder="1" applyAlignment="1">
      <alignment horizontal="left" vertical="top" wrapText="1"/>
    </xf>
    <xf numFmtId="0" fontId="14" fillId="5" borderId="1" xfId="0" applyFont="1" applyFill="1" applyBorder="1" applyAlignment="1">
      <alignment wrapText="1"/>
    </xf>
    <xf numFmtId="49" fontId="14" fillId="0" borderId="1" xfId="0" applyNumberFormat="1" applyFont="1" applyBorder="1" applyAlignment="1">
      <alignment horizontal="left" vertical="top" wrapText="1"/>
    </xf>
    <xf numFmtId="0" fontId="0" fillId="0" borderId="1" xfId="0" applyBorder="1" applyAlignment="1">
      <alignment horizontal="right" vertical="center"/>
    </xf>
    <xf numFmtId="0" fontId="47" fillId="0" borderId="1" xfId="0" applyFont="1" applyBorder="1" applyAlignment="1">
      <alignment horizontal="left" vertical="center" readingOrder="1"/>
    </xf>
    <xf numFmtId="0" fontId="24" fillId="0" borderId="0" xfId="0" applyFont="1" applyAlignment="1">
      <alignment horizontal="left" vertical="top" wrapText="1" readingOrder="1"/>
    </xf>
    <xf numFmtId="0" fontId="16" fillId="6" borderId="0" xfId="0" applyFont="1" applyFill="1" applyAlignment="1">
      <alignment wrapText="1"/>
    </xf>
    <xf numFmtId="0" fontId="17" fillId="0" borderId="0" xfId="0" applyFont="1" applyAlignment="1">
      <alignment horizontal="left" vertical="top" wrapText="1"/>
    </xf>
    <xf numFmtId="0" fontId="15" fillId="7" borderId="0" xfId="0" applyFont="1" applyFill="1" applyAlignment="1">
      <alignment horizontal="left" vertical="top" wrapText="1"/>
    </xf>
    <xf numFmtId="0" fontId="15" fillId="9" borderId="0" xfId="0" applyFont="1" applyFill="1" applyAlignment="1">
      <alignment horizontal="left" vertical="top" wrapText="1"/>
    </xf>
    <xf numFmtId="0" fontId="17" fillId="0" borderId="0" xfId="0" applyFont="1" applyAlignment="1">
      <alignment wrapText="1"/>
    </xf>
    <xf numFmtId="0" fontId="5" fillId="0" borderId="0" xfId="0" applyFont="1" applyAlignment="1">
      <alignment horizontal="left" vertical="center" wrapText="1"/>
    </xf>
    <xf numFmtId="49" fontId="20" fillId="0" borderId="0" xfId="0" applyNumberFormat="1" applyFont="1" applyAlignment="1">
      <alignment horizontal="left" vertical="top" wrapText="1"/>
    </xf>
    <xf numFmtId="0" fontId="19" fillId="0" borderId="0" xfId="0" applyFont="1" applyAlignment="1">
      <alignment horizontal="left" vertical="top" wrapText="1"/>
    </xf>
    <xf numFmtId="0" fontId="15" fillId="0" borderId="0" xfId="0" applyFont="1" applyAlignment="1">
      <alignment horizontal="left" vertical="center" wrapText="1"/>
    </xf>
    <xf numFmtId="0" fontId="21" fillId="0" borderId="4" xfId="0" applyFont="1" applyBorder="1" applyAlignment="1">
      <alignment horizontal="left" vertical="top" wrapText="1"/>
    </xf>
    <xf numFmtId="0" fontId="17" fillId="0" borderId="4" xfId="0" applyFont="1" applyBorder="1" applyAlignment="1">
      <alignment horizontal="left" vertical="top" wrapText="1"/>
    </xf>
    <xf numFmtId="0" fontId="15" fillId="7" borderId="4" xfId="0" applyFont="1" applyFill="1" applyBorder="1" applyAlignment="1">
      <alignment horizontal="left" vertical="top" wrapText="1"/>
    </xf>
    <xf numFmtId="0" fontId="15" fillId="9" borderId="4" xfId="0" applyFont="1" applyFill="1" applyBorder="1" applyAlignment="1">
      <alignment horizontal="left" vertical="top" wrapText="1"/>
    </xf>
    <xf numFmtId="0" fontId="17" fillId="0" borderId="4" xfId="0" applyFont="1" applyBorder="1" applyAlignment="1">
      <alignment wrapText="1"/>
    </xf>
    <xf numFmtId="0" fontId="15" fillId="0" borderId="4" xfId="0" applyFont="1" applyBorder="1" applyAlignment="1">
      <alignment horizontal="left" vertical="center" wrapText="1"/>
    </xf>
    <xf numFmtId="49" fontId="17" fillId="0" borderId="11" xfId="0" applyNumberFormat="1" applyFont="1" applyBorder="1" applyAlignment="1">
      <alignment horizontal="left" vertical="top" wrapText="1"/>
    </xf>
    <xf numFmtId="49" fontId="17" fillId="0" borderId="4" xfId="0" applyNumberFormat="1" applyFont="1" applyBorder="1" applyAlignment="1">
      <alignment horizontal="left" vertical="top" wrapText="1"/>
    </xf>
    <xf numFmtId="0" fontId="0" fillId="0" borderId="4" xfId="0" applyBorder="1"/>
    <xf numFmtId="164" fontId="0" fillId="2" borderId="1" xfId="0" applyNumberFormat="1" applyFill="1" applyBorder="1" applyAlignment="1">
      <alignment horizontal="center" vertical="center"/>
    </xf>
    <xf numFmtId="0" fontId="35" fillId="0" borderId="5" xfId="0" applyFont="1" applyBorder="1" applyAlignment="1">
      <alignment horizontal="left" vertical="top" wrapText="1"/>
    </xf>
    <xf numFmtId="0" fontId="35" fillId="0" borderId="1" xfId="0" applyFont="1" applyBorder="1" applyAlignment="1">
      <alignment horizontal="left" vertical="top" wrapText="1"/>
    </xf>
    <xf numFmtId="0" fontId="33" fillId="0" borderId="1" xfId="0" applyFont="1" applyBorder="1" applyAlignment="1">
      <alignment horizontal="left" vertical="top" wrapText="1"/>
    </xf>
    <xf numFmtId="0" fontId="33" fillId="19" borderId="1" xfId="0" applyFont="1" applyFill="1" applyBorder="1" applyAlignment="1">
      <alignment horizontal="left" vertical="top" wrapText="1"/>
    </xf>
    <xf numFmtId="0" fontId="33" fillId="0" borderId="1" xfId="0" applyFont="1" applyBorder="1" applyAlignment="1">
      <alignment vertical="top" wrapText="1"/>
    </xf>
    <xf numFmtId="0" fontId="33" fillId="2" borderId="1" xfId="0" applyFont="1" applyFill="1" applyBorder="1" applyAlignment="1">
      <alignment wrapText="1"/>
    </xf>
    <xf numFmtId="0" fontId="33" fillId="0" borderId="9" xfId="0" applyFont="1" applyBorder="1" applyAlignment="1">
      <alignment wrapText="1"/>
    </xf>
    <xf numFmtId="0" fontId="33" fillId="2" borderId="9" xfId="0" applyFont="1" applyFill="1" applyBorder="1" applyAlignment="1">
      <alignment wrapText="1"/>
    </xf>
    <xf numFmtId="0" fontId="33" fillId="19" borderId="9" xfId="0" applyFont="1" applyFill="1" applyBorder="1" applyAlignment="1">
      <alignment wrapText="1"/>
    </xf>
    <xf numFmtId="0" fontId="33" fillId="19" borderId="1" xfId="0" applyFont="1" applyFill="1" applyBorder="1" applyAlignment="1">
      <alignment wrapText="1"/>
    </xf>
    <xf numFmtId="0" fontId="33" fillId="19" borderId="1" xfId="0" applyFont="1" applyFill="1" applyBorder="1" applyAlignment="1">
      <alignment vertical="top" wrapText="1"/>
    </xf>
    <xf numFmtId="0" fontId="33" fillId="0" borderId="4" xfId="0" applyFont="1" applyBorder="1" applyAlignment="1">
      <alignment wrapText="1"/>
    </xf>
    <xf numFmtId="1" fontId="5" fillId="0" borderId="1" xfId="0" applyNumberFormat="1" applyFont="1" applyBorder="1" applyAlignment="1">
      <alignment horizontal="left" vertical="top" wrapText="1"/>
    </xf>
    <xf numFmtId="1" fontId="0" fillId="0" borderId="0" xfId="0" applyNumberFormat="1"/>
    <xf numFmtId="0" fontId="22" fillId="0" borderId="0" xfId="0" applyFont="1"/>
    <xf numFmtId="165" fontId="5" fillId="0" borderId="1" xfId="0" applyNumberFormat="1" applyFont="1" applyBorder="1" applyAlignment="1">
      <alignment horizontal="left" vertical="top" wrapText="1"/>
    </xf>
    <xf numFmtId="0" fontId="0" fillId="20" borderId="2" xfId="0" applyFill="1" applyBorder="1" applyAlignment="1">
      <alignment wrapText="1"/>
    </xf>
    <xf numFmtId="0" fontId="0" fillId="0" borderId="0" xfId="0" applyAlignment="1">
      <alignment vertical="center"/>
    </xf>
    <xf numFmtId="0" fontId="1" fillId="2" borderId="1" xfId="0" applyFont="1" applyFill="1" applyBorder="1" applyAlignment="1">
      <alignment wrapText="1"/>
    </xf>
    <xf numFmtId="0" fontId="5" fillId="0" borderId="0" xfId="0" applyFont="1" applyAlignment="1">
      <alignment horizontal="left" vertical="top" wrapText="1"/>
    </xf>
    <xf numFmtId="0" fontId="0" fillId="0" borderId="5" xfId="0" applyBorder="1"/>
    <xf numFmtId="0" fontId="0" fillId="0" borderId="5" xfId="0" applyBorder="1" applyAlignment="1">
      <alignment wrapText="1"/>
    </xf>
    <xf numFmtId="0" fontId="17" fillId="5" borderId="5" xfId="0" applyFont="1" applyFill="1" applyBorder="1" applyAlignment="1">
      <alignment horizontal="left" vertical="top" wrapText="1"/>
    </xf>
    <xf numFmtId="0" fontId="32" fillId="0" borderId="1" xfId="0" applyFont="1" applyBorder="1" applyAlignment="1">
      <alignment wrapText="1"/>
    </xf>
    <xf numFmtId="0" fontId="37" fillId="0" borderId="1" xfId="0" applyFont="1" applyBorder="1" applyAlignment="1">
      <alignment wrapText="1"/>
    </xf>
    <xf numFmtId="0" fontId="40" fillId="0" borderId="1" xfId="0" applyFont="1" applyBorder="1" applyAlignment="1">
      <alignment wrapText="1"/>
    </xf>
    <xf numFmtId="0" fontId="0" fillId="20" borderId="1" xfId="0" applyFill="1" applyBorder="1" applyAlignment="1">
      <alignment wrapText="1"/>
    </xf>
    <xf numFmtId="0" fontId="15" fillId="13" borderId="1" xfId="0" applyFont="1" applyFill="1" applyBorder="1" applyAlignment="1">
      <alignment horizontal="left" vertical="top" wrapText="1"/>
    </xf>
    <xf numFmtId="0" fontId="17" fillId="13" borderId="1" xfId="0" applyFont="1" applyFill="1" applyBorder="1" applyAlignment="1">
      <alignment horizontal="left" vertical="top" wrapText="1"/>
    </xf>
    <xf numFmtId="0" fontId="17" fillId="13" borderId="1" xfId="0" applyFont="1" applyFill="1" applyBorder="1" applyAlignment="1">
      <alignment wrapText="1"/>
    </xf>
    <xf numFmtId="49" fontId="0" fillId="13" borderId="1" xfId="0" applyNumberFormat="1" applyFill="1" applyBorder="1" applyAlignment="1">
      <alignment horizontal="left" vertical="top" wrapText="1"/>
    </xf>
    <xf numFmtId="49" fontId="15" fillId="13" borderId="1" xfId="0" applyNumberFormat="1" applyFont="1" applyFill="1" applyBorder="1" applyAlignment="1">
      <alignment horizontal="left" vertical="top" wrapText="1"/>
    </xf>
    <xf numFmtId="0" fontId="0" fillId="13" borderId="0" xfId="0" applyFill="1"/>
    <xf numFmtId="49" fontId="17" fillId="13" borderId="1" xfId="0" applyNumberFormat="1" applyFont="1" applyFill="1" applyBorder="1" applyAlignment="1">
      <alignment horizontal="left" vertical="top" wrapText="1"/>
    </xf>
    <xf numFmtId="0" fontId="4" fillId="13" borderId="1" xfId="0" applyFont="1" applyFill="1" applyBorder="1" applyAlignment="1">
      <alignment horizontal="left" vertical="top" wrapText="1"/>
    </xf>
    <xf numFmtId="0" fontId="0" fillId="13" borderId="1" xfId="0" applyFill="1" applyBorder="1" applyAlignment="1">
      <alignment horizontal="center" vertical="center"/>
    </xf>
    <xf numFmtId="0" fontId="0" fillId="0" borderId="9" xfId="0" applyBorder="1"/>
    <xf numFmtId="0" fontId="57" fillId="0" borderId="1" xfId="0" applyFont="1" applyBorder="1" applyAlignment="1">
      <alignment horizontal="center" wrapText="1"/>
    </xf>
    <xf numFmtId="1" fontId="15" fillId="4" borderId="1" xfId="0" applyNumberFormat="1" applyFont="1" applyFill="1" applyBorder="1" applyAlignment="1">
      <alignment horizontal="left" vertical="top" wrapText="1"/>
    </xf>
    <xf numFmtId="1" fontId="15" fillId="0" borderId="1" xfId="0" applyNumberFormat="1" applyFont="1" applyBorder="1" applyAlignment="1">
      <alignment horizontal="left" vertical="top" wrapText="1"/>
    </xf>
    <xf numFmtId="1" fontId="0" fillId="0" borderId="1" xfId="0" applyNumberFormat="1" applyBorder="1"/>
    <xf numFmtId="1" fontId="0" fillId="13" borderId="1" xfId="0" applyNumberFormat="1" applyFill="1" applyBorder="1"/>
    <xf numFmtId="1" fontId="24" fillId="0" borderId="1" xfId="0" applyNumberFormat="1" applyFont="1" applyBorder="1" applyAlignment="1">
      <alignment horizontal="right" vertical="center"/>
    </xf>
    <xf numFmtId="1" fontId="0" fillId="0" borderId="5" xfId="0" applyNumberFormat="1" applyBorder="1"/>
    <xf numFmtId="0" fontId="47" fillId="0" borderId="0" xfId="0" applyFont="1" applyAlignment="1">
      <alignment horizontal="center"/>
    </xf>
    <xf numFmtId="0" fontId="2" fillId="0" borderId="0" xfId="0" applyFont="1"/>
    <xf numFmtId="0" fontId="2" fillId="0" borderId="1" xfId="0" applyFont="1" applyBorder="1" applyAlignment="1">
      <alignment horizontal="left" vertical="center" readingOrder="1"/>
    </xf>
    <xf numFmtId="49" fontId="58" fillId="0" borderId="1" xfId="0" applyNumberFormat="1" applyFont="1" applyBorder="1" applyAlignment="1">
      <alignment horizontal="left" vertical="top" wrapText="1"/>
    </xf>
    <xf numFmtId="0" fontId="59" fillId="0" borderId="1" xfId="0" applyFont="1" applyBorder="1" applyAlignment="1">
      <alignment wrapText="1"/>
    </xf>
    <xf numFmtId="0" fontId="60" fillId="0" borderId="1" xfId="0" applyFont="1" applyBorder="1" applyAlignment="1">
      <alignment wrapText="1"/>
    </xf>
    <xf numFmtId="0" fontId="61" fillId="0" borderId="1" xfId="0" applyFont="1" applyBorder="1" applyAlignment="1">
      <alignment horizontal="left" vertical="top" wrapText="1"/>
    </xf>
    <xf numFmtId="0" fontId="61" fillId="9" borderId="1" xfId="0" applyFont="1" applyFill="1" applyBorder="1" applyAlignment="1">
      <alignment horizontal="left" vertical="top" wrapText="1"/>
    </xf>
    <xf numFmtId="0" fontId="61" fillId="7" borderId="1" xfId="0" applyFont="1" applyFill="1" applyBorder="1" applyAlignment="1">
      <alignment horizontal="left" vertical="top" wrapText="1"/>
    </xf>
    <xf numFmtId="0" fontId="60" fillId="0" borderId="1" xfId="0" applyFont="1" applyBorder="1" applyAlignment="1">
      <alignment horizontal="left" vertical="top" wrapText="1"/>
    </xf>
    <xf numFmtId="0" fontId="62" fillId="0" borderId="1" xfId="0" applyFont="1" applyBorder="1" applyAlignment="1">
      <alignment horizontal="left" vertical="top" wrapText="1"/>
    </xf>
    <xf numFmtId="49" fontId="63" fillId="0" borderId="1" xfId="0" applyNumberFormat="1" applyFont="1" applyBorder="1" applyAlignment="1">
      <alignment horizontal="left" vertical="top" wrapText="1"/>
    </xf>
    <xf numFmtId="0" fontId="2" fillId="2" borderId="1" xfId="0" applyFont="1" applyFill="1" applyBorder="1" applyAlignment="1">
      <alignment horizontal="left" vertical="center" readingOrder="1"/>
    </xf>
    <xf numFmtId="49" fontId="0" fillId="2" borderId="1" xfId="0" applyNumberFormat="1" applyFill="1" applyBorder="1" applyAlignment="1">
      <alignment horizontal="left" vertical="top" wrapText="1"/>
    </xf>
    <xf numFmtId="49" fontId="15" fillId="2" borderId="1" xfId="0" applyNumberFormat="1" applyFont="1" applyFill="1" applyBorder="1" applyAlignment="1">
      <alignment horizontal="left" vertical="top" wrapText="1"/>
    </xf>
    <xf numFmtId="1" fontId="0" fillId="2" borderId="1" xfId="0" applyNumberFormat="1" applyFill="1" applyBorder="1"/>
    <xf numFmtId="0" fontId="1" fillId="0" borderId="0" xfId="0" applyFont="1" applyAlignment="1">
      <alignment horizontal="center" vertical="center"/>
    </xf>
    <xf numFmtId="0" fontId="1" fillId="0" borderId="4" xfId="0" applyFont="1" applyBorder="1" applyAlignment="1">
      <alignment horizontal="center" vertical="center" wrapText="1"/>
    </xf>
    <xf numFmtId="0" fontId="1" fillId="0" borderId="9" xfId="0" applyFont="1" applyBorder="1" applyAlignment="1">
      <alignment horizontal="center" vertical="center" wrapText="1"/>
    </xf>
    <xf numFmtId="0" fontId="1" fillId="0" borderId="5" xfId="0" applyFont="1"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33" fillId="0" borderId="4" xfId="0" applyFont="1" applyBorder="1" applyAlignment="1">
      <alignment horizontal="left" vertical="top" wrapText="1"/>
    </xf>
    <xf numFmtId="0" fontId="33" fillId="0" borderId="9" xfId="0" applyFont="1" applyBorder="1" applyAlignment="1">
      <alignment horizontal="left" vertical="top" wrapText="1"/>
    </xf>
    <xf numFmtId="0" fontId="33" fillId="0" borderId="5" xfId="0" applyFont="1" applyBorder="1" applyAlignment="1">
      <alignment horizontal="left" vertical="top" wrapText="1"/>
    </xf>
    <xf numFmtId="0" fontId="0" fillId="0" borderId="4" xfId="0" applyBorder="1" applyAlignment="1">
      <alignment horizontal="left" vertical="center" wrapText="1"/>
    </xf>
    <xf numFmtId="0" fontId="0" fillId="0" borderId="9" xfId="0" applyBorder="1" applyAlignment="1">
      <alignment horizontal="left" vertical="center" wrapText="1"/>
    </xf>
    <xf numFmtId="0" fontId="0" fillId="0" borderId="5" xfId="0" applyBorder="1" applyAlignment="1">
      <alignment horizontal="left" vertical="center" wrapText="1"/>
    </xf>
    <xf numFmtId="0" fontId="45" fillId="17" borderId="1" xfId="0" applyFont="1" applyFill="1" applyBorder="1" applyAlignment="1">
      <alignment horizontal="left"/>
    </xf>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48" fillId="18" borderId="0" xfId="0" applyFont="1" applyFill="1" applyAlignment="1">
      <alignment horizontal="center" vertical="center"/>
    </xf>
    <xf numFmtId="0" fontId="0" fillId="0" borderId="0" xfId="0"/>
  </cellXfs>
  <cellStyles count="4">
    <cellStyle name="Hyperlink" xfId="3" builtinId="8"/>
    <cellStyle name="Normal" xfId="0" builtinId="0"/>
    <cellStyle name="Normal 14" xfId="1" xr:uid="{428B2411-2B75-4412-920B-65BD29B1E0FA}"/>
    <cellStyle name="Normal 2" xfId="2" xr:uid="{1509F3BC-B0D6-4BB9-8010-4F9DD1D57B74}"/>
  </cellStyles>
  <dxfs count="44">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x:/r/teams/NavigateNowQuality/Shared%20Documents/General/Helpful%20Documents/Level%20Funded%20legal%20entities.xlsx?d=web66e7c2bc3c440cbada4bfaf3edaee3&amp;csf=1&amp;web=1&amp;e=vdV1OxClick%20here%20for%20SL%20file" TargetMode="External"/><Relationship Id="rId1" Type="http://schemas.openxmlformats.org/officeDocument/2006/relationships/hyperlink" Target="../../../../../:x:/r/teams/NavigateNowQuality/Shared%20Documents/General/Helpful%20Documents/Level%20Funded%20legal%20entities.xlsx?d=web66e7c2bc3c440cbada4bfaf3edaee3&amp;csf=1&amp;web=1&amp;e=vdV1OxClick%20here%20for%20SL%20file"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190A7-01B0-4924-BC54-A39B4E8C1613}">
  <dimension ref="A1"/>
  <sheetViews>
    <sheetView workbookViewId="0"/>
  </sheetViews>
  <sheetFormatPr defaultRowHeight="14.5" x14ac:dyDescent="0.35"/>
  <sheetData/>
  <pageMargins left="0.7" right="0.7" top="0.75" bottom="0.75" header="0.3" footer="0.3"/>
  <pageSetup orientation="portrait" horizontalDpi="90" verticalDpi="9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83E33-7753-4B3D-9B67-1A467E80C02E}">
  <dimension ref="A1:S111"/>
  <sheetViews>
    <sheetView topLeftCell="H1" zoomScaleNormal="100" workbookViewId="0">
      <selection activeCell="M1" sqref="M1"/>
    </sheetView>
  </sheetViews>
  <sheetFormatPr defaultRowHeight="14.5" x14ac:dyDescent="0.35"/>
  <cols>
    <col min="1" max="1" width="23" customWidth="1"/>
    <col min="2" max="2" width="14.453125" customWidth="1"/>
    <col min="3" max="3" width="11.54296875" customWidth="1"/>
    <col min="4" max="4" width="9.453125" customWidth="1"/>
    <col min="5" max="5" width="13.453125" customWidth="1"/>
    <col min="6" max="6" width="10.453125" customWidth="1"/>
    <col min="7" max="7" width="14.54296875" customWidth="1"/>
    <col min="8" max="8" width="10.453125" customWidth="1"/>
    <col min="9" max="9" width="24.54296875" customWidth="1"/>
    <col min="10" max="10" width="32.453125" customWidth="1"/>
    <col min="11" max="11" width="55.54296875" style="117" customWidth="1"/>
    <col min="12" max="12" width="25.453125" style="57" bestFit="1" customWidth="1"/>
    <col min="13" max="13" width="14.453125" bestFit="1" customWidth="1"/>
    <col min="14" max="14" width="15.54296875" customWidth="1"/>
    <col min="16" max="16" width="30" customWidth="1"/>
    <col min="19" max="19" width="18.54296875" customWidth="1"/>
  </cols>
  <sheetData>
    <row r="1" spans="1:19" ht="26" x14ac:dyDescent="0.35">
      <c r="A1" s="58" t="s">
        <v>0</v>
      </c>
      <c r="B1" s="58" t="s">
        <v>1</v>
      </c>
      <c r="C1" s="58" t="s">
        <v>2</v>
      </c>
      <c r="D1" s="58" t="s">
        <v>3</v>
      </c>
      <c r="E1" s="58" t="s">
        <v>4</v>
      </c>
      <c r="F1" s="58" t="s">
        <v>5</v>
      </c>
      <c r="G1" s="58" t="s">
        <v>6</v>
      </c>
      <c r="H1" s="59" t="s">
        <v>7</v>
      </c>
      <c r="I1" s="59" t="s">
        <v>8</v>
      </c>
      <c r="J1" s="59" t="s">
        <v>9</v>
      </c>
      <c r="K1" s="59" t="s">
        <v>10</v>
      </c>
      <c r="L1" s="60" t="s">
        <v>11</v>
      </c>
      <c r="M1" s="60" t="s">
        <v>12</v>
      </c>
      <c r="N1" s="59" t="s">
        <v>13</v>
      </c>
      <c r="O1" s="61" t="s">
        <v>14</v>
      </c>
      <c r="P1" s="62" t="s">
        <v>15</v>
      </c>
      <c r="Q1" s="62" t="s">
        <v>16</v>
      </c>
      <c r="R1" s="62" t="s">
        <v>17</v>
      </c>
      <c r="S1" s="62" t="s">
        <v>18</v>
      </c>
    </row>
    <row r="2" spans="1:19" ht="130.5" x14ac:dyDescent="0.35">
      <c r="A2" s="63" t="s">
        <v>19</v>
      </c>
      <c r="B2" s="64"/>
      <c r="C2" s="64"/>
      <c r="D2" s="65"/>
      <c r="E2" s="66"/>
      <c r="F2" s="64"/>
      <c r="G2" s="67"/>
      <c r="H2" s="68"/>
      <c r="I2" s="69" t="s">
        <v>20</v>
      </c>
      <c r="J2" s="70" t="s">
        <v>21</v>
      </c>
      <c r="K2" s="53"/>
      <c r="L2" s="71"/>
      <c r="M2" s="72"/>
      <c r="N2" s="2" t="s">
        <v>22</v>
      </c>
      <c r="O2" s="64"/>
      <c r="P2" s="64"/>
      <c r="Q2" s="73"/>
      <c r="R2" s="64"/>
      <c r="S2" s="64"/>
    </row>
    <row r="3" spans="1:19" ht="39" x14ac:dyDescent="0.35">
      <c r="A3" s="17"/>
      <c r="B3" s="11"/>
      <c r="C3" s="11"/>
      <c r="D3" s="112"/>
      <c r="E3" s="112"/>
      <c r="F3" s="11"/>
      <c r="G3" s="20"/>
      <c r="H3" s="20" t="s">
        <v>23</v>
      </c>
      <c r="I3" s="111" t="s">
        <v>24</v>
      </c>
      <c r="J3" s="113" t="s">
        <v>25</v>
      </c>
      <c r="K3" s="16" t="s">
        <v>26</v>
      </c>
      <c r="L3" s="25" t="s">
        <v>27</v>
      </c>
      <c r="M3" s="116"/>
      <c r="N3" s="2" t="s">
        <v>22</v>
      </c>
      <c r="O3" s="11"/>
      <c r="P3" s="11"/>
      <c r="Q3" s="11"/>
      <c r="R3" s="11"/>
      <c r="S3" s="11"/>
    </row>
    <row r="4" spans="1:19" ht="15.5" x14ac:dyDescent="0.35">
      <c r="A4" s="17"/>
      <c r="B4" s="11"/>
      <c r="C4" s="11"/>
      <c r="D4" s="112"/>
      <c r="E4" s="112"/>
      <c r="F4" s="11"/>
      <c r="G4" s="20"/>
      <c r="H4" s="20" t="s">
        <v>28</v>
      </c>
      <c r="I4" s="11"/>
      <c r="J4" s="113"/>
      <c r="K4" s="16" t="s">
        <v>29</v>
      </c>
      <c r="L4" s="25" t="s">
        <v>27</v>
      </c>
      <c r="M4" s="116"/>
      <c r="N4" s="2" t="s">
        <v>22</v>
      </c>
      <c r="O4" s="11"/>
      <c r="P4" s="11"/>
      <c r="Q4" s="11"/>
      <c r="R4" s="11"/>
      <c r="S4" s="11"/>
    </row>
    <row r="5" spans="1:19" ht="25" x14ac:dyDescent="0.35">
      <c r="A5" s="17"/>
      <c r="B5" s="11"/>
      <c r="C5" s="11"/>
      <c r="D5" s="112"/>
      <c r="E5" s="112"/>
      <c r="F5" s="11"/>
      <c r="G5" s="20"/>
      <c r="H5" s="20" t="s">
        <v>30</v>
      </c>
      <c r="I5" s="11"/>
      <c r="J5" s="113"/>
      <c r="K5" s="165" t="s">
        <v>31</v>
      </c>
      <c r="L5" s="25"/>
      <c r="M5" s="116"/>
      <c r="N5" s="2" t="s">
        <v>22</v>
      </c>
      <c r="O5" s="11"/>
      <c r="P5" s="11"/>
      <c r="Q5" s="11"/>
      <c r="R5" s="11"/>
      <c r="S5" s="11"/>
    </row>
    <row r="6" spans="1:19" ht="37.5" x14ac:dyDescent="0.35">
      <c r="A6" s="17"/>
      <c r="B6" s="11"/>
      <c r="C6" s="11"/>
      <c r="D6" s="112"/>
      <c r="E6" s="112"/>
      <c r="F6" s="11"/>
      <c r="G6" s="20"/>
      <c r="H6" s="20" t="s">
        <v>32</v>
      </c>
      <c r="I6" s="11"/>
      <c r="J6" s="113"/>
      <c r="K6" s="165" t="s">
        <v>33</v>
      </c>
      <c r="L6" s="25"/>
      <c r="M6" s="116"/>
      <c r="N6" s="2" t="s">
        <v>22</v>
      </c>
      <c r="O6" s="11"/>
      <c r="P6" s="11"/>
      <c r="Q6" s="11"/>
      <c r="R6" s="11"/>
      <c r="S6" s="11"/>
    </row>
    <row r="7" spans="1:19" ht="37.5" x14ac:dyDescent="0.35">
      <c r="A7" s="17"/>
      <c r="B7" s="11"/>
      <c r="C7" s="11"/>
      <c r="D7" s="112"/>
      <c r="E7" s="112"/>
      <c r="F7" s="11"/>
      <c r="G7" s="20"/>
      <c r="H7" s="20" t="s">
        <v>34</v>
      </c>
      <c r="I7" s="11"/>
      <c r="J7" s="113"/>
      <c r="K7" s="165" t="s">
        <v>35</v>
      </c>
      <c r="L7" s="25"/>
      <c r="M7" s="116"/>
      <c r="N7" s="2" t="s">
        <v>22</v>
      </c>
      <c r="O7" s="11"/>
      <c r="P7" s="11"/>
      <c r="Q7" s="11"/>
      <c r="R7" s="11"/>
      <c r="S7" s="11"/>
    </row>
    <row r="8" spans="1:19" ht="37.5" x14ac:dyDescent="0.35">
      <c r="A8" s="17"/>
      <c r="B8" s="11"/>
      <c r="C8" s="11"/>
      <c r="D8" s="112"/>
      <c r="E8" s="112"/>
      <c r="F8" s="11"/>
      <c r="G8" s="20"/>
      <c r="H8" s="20" t="s">
        <v>36</v>
      </c>
      <c r="I8" s="11"/>
      <c r="J8" s="113"/>
      <c r="K8" s="165" t="s">
        <v>37</v>
      </c>
      <c r="L8" s="25"/>
      <c r="M8" s="116"/>
      <c r="N8" s="2" t="s">
        <v>22</v>
      </c>
      <c r="O8" s="11"/>
      <c r="P8" s="11"/>
      <c r="Q8" s="11"/>
      <c r="R8" s="11"/>
      <c r="S8" s="11"/>
    </row>
    <row r="9" spans="1:19" ht="25" x14ac:dyDescent="0.35">
      <c r="A9" s="17"/>
      <c r="B9" s="11"/>
      <c r="C9" s="11"/>
      <c r="D9" s="112"/>
      <c r="E9" s="112"/>
      <c r="F9" s="11"/>
      <c r="G9" s="20"/>
      <c r="H9" s="20" t="s">
        <v>38</v>
      </c>
      <c r="I9" s="11"/>
      <c r="J9" s="113"/>
      <c r="K9" s="150" t="s">
        <v>39</v>
      </c>
      <c r="L9" s="25"/>
      <c r="M9" s="116"/>
      <c r="N9" s="2" t="s">
        <v>22</v>
      </c>
      <c r="O9" s="11"/>
      <c r="P9" s="11"/>
      <c r="Q9" s="11"/>
      <c r="R9" s="11"/>
      <c r="S9" s="11"/>
    </row>
    <row r="10" spans="1:19" ht="25" x14ac:dyDescent="0.35">
      <c r="A10" s="17"/>
      <c r="B10" s="11"/>
      <c r="C10" s="11"/>
      <c r="D10" s="112"/>
      <c r="E10" s="112"/>
      <c r="F10" s="11"/>
      <c r="G10" s="20"/>
      <c r="H10" s="20" t="s">
        <v>40</v>
      </c>
      <c r="I10" s="11"/>
      <c r="J10" s="113"/>
      <c r="K10" s="150" t="s">
        <v>41</v>
      </c>
      <c r="L10" s="25"/>
      <c r="M10" s="116"/>
      <c r="N10" s="2" t="s">
        <v>22</v>
      </c>
      <c r="O10" s="11"/>
      <c r="P10" s="11"/>
      <c r="Q10" s="11"/>
      <c r="R10" s="11"/>
      <c r="S10" s="11"/>
    </row>
    <row r="11" spans="1:19" ht="25" x14ac:dyDescent="0.35">
      <c r="A11" s="17"/>
      <c r="B11" s="11"/>
      <c r="C11" s="11"/>
      <c r="D11" s="112"/>
      <c r="E11" s="112"/>
      <c r="F11" s="11"/>
      <c r="G11" s="20"/>
      <c r="H11" s="20" t="s">
        <v>42</v>
      </c>
      <c r="I11" s="11"/>
      <c r="J11" s="113"/>
      <c r="K11" s="150" t="s">
        <v>43</v>
      </c>
      <c r="L11" s="25"/>
      <c r="M11" s="116"/>
      <c r="N11" s="2" t="s">
        <v>22</v>
      </c>
      <c r="O11" s="11"/>
      <c r="P11" s="11"/>
      <c r="Q11" s="11"/>
      <c r="R11" s="11"/>
      <c r="S11" s="11"/>
    </row>
    <row r="12" spans="1:19" ht="25" x14ac:dyDescent="0.35">
      <c r="A12" s="17"/>
      <c r="B12" s="11"/>
      <c r="C12" s="11"/>
      <c r="D12" s="112"/>
      <c r="E12" s="112"/>
      <c r="F12" s="11"/>
      <c r="G12" s="20"/>
      <c r="H12" s="20" t="s">
        <v>44</v>
      </c>
      <c r="I12" s="11"/>
      <c r="J12" s="113"/>
      <c r="K12" s="16" t="s">
        <v>45</v>
      </c>
      <c r="L12" s="25" t="s">
        <v>27</v>
      </c>
      <c r="M12" s="116"/>
      <c r="N12" s="2" t="s">
        <v>22</v>
      </c>
      <c r="O12" s="11"/>
      <c r="P12" s="11"/>
      <c r="Q12" s="11"/>
      <c r="R12" s="11"/>
      <c r="S12" s="11"/>
    </row>
    <row r="13" spans="1:19" ht="15.5" x14ac:dyDescent="0.35">
      <c r="A13" s="17"/>
      <c r="B13" s="11"/>
      <c r="C13" s="11"/>
      <c r="D13" s="112"/>
      <c r="E13" s="112"/>
      <c r="F13" s="11"/>
      <c r="G13" s="20"/>
      <c r="H13" s="20" t="s">
        <v>46</v>
      </c>
      <c r="I13" s="11"/>
      <c r="J13" s="113"/>
      <c r="K13" s="16" t="s">
        <v>47</v>
      </c>
      <c r="L13" s="25" t="s">
        <v>27</v>
      </c>
      <c r="M13" s="116"/>
      <c r="N13" s="2" t="s">
        <v>22</v>
      </c>
      <c r="O13" s="11"/>
      <c r="P13" s="11"/>
      <c r="Q13" s="11"/>
      <c r="R13" s="11"/>
      <c r="S13" s="11"/>
    </row>
    <row r="14" spans="1:19" ht="15.5" x14ac:dyDescent="0.35">
      <c r="A14" s="17"/>
      <c r="B14" s="11"/>
      <c r="C14" s="11"/>
      <c r="D14" s="112"/>
      <c r="E14" s="112"/>
      <c r="F14" s="11"/>
      <c r="G14" s="20"/>
      <c r="H14" s="20" t="s">
        <v>48</v>
      </c>
      <c r="I14" s="11"/>
      <c r="J14" s="21" t="s">
        <v>49</v>
      </c>
      <c r="K14" s="114" t="s">
        <v>50</v>
      </c>
      <c r="L14" s="25" t="s">
        <v>27</v>
      </c>
      <c r="M14" s="116"/>
      <c r="N14" s="2" t="s">
        <v>22</v>
      </c>
      <c r="O14" s="11"/>
      <c r="P14" s="11"/>
      <c r="Q14" s="11"/>
      <c r="R14" s="11"/>
      <c r="S14" s="11"/>
    </row>
    <row r="15" spans="1:19" ht="15.5" x14ac:dyDescent="0.35">
      <c r="A15" s="17"/>
      <c r="B15" s="11"/>
      <c r="C15" s="11"/>
      <c r="D15" s="112"/>
      <c r="E15" s="112"/>
      <c r="F15" s="11"/>
      <c r="G15" s="20"/>
      <c r="H15" s="20" t="s">
        <v>51</v>
      </c>
      <c r="I15" s="11"/>
      <c r="J15" s="113"/>
      <c r="K15" s="16" t="s">
        <v>52</v>
      </c>
      <c r="L15" s="25" t="s">
        <v>27</v>
      </c>
      <c r="M15" s="116"/>
      <c r="N15" s="2" t="s">
        <v>22</v>
      </c>
      <c r="O15" s="11"/>
      <c r="P15" s="11"/>
      <c r="Q15" s="11"/>
      <c r="R15" s="11"/>
      <c r="S15" s="11"/>
    </row>
    <row r="16" spans="1:19" ht="15.5" x14ac:dyDescent="0.35">
      <c r="A16" s="17"/>
      <c r="B16" s="11"/>
      <c r="C16" s="11"/>
      <c r="D16" s="112"/>
      <c r="E16" s="112"/>
      <c r="F16" s="11"/>
      <c r="G16" s="20"/>
      <c r="H16" s="20" t="s">
        <v>53</v>
      </c>
      <c r="I16" s="11"/>
      <c r="J16" s="113"/>
      <c r="K16" s="16" t="s">
        <v>54</v>
      </c>
      <c r="L16" s="25" t="s">
        <v>27</v>
      </c>
      <c r="M16" s="116"/>
      <c r="N16" s="2" t="s">
        <v>22</v>
      </c>
      <c r="O16" s="11"/>
      <c r="P16" s="11"/>
      <c r="Q16" s="11"/>
      <c r="R16" s="11"/>
      <c r="S16" s="11"/>
    </row>
    <row r="17" spans="1:19" ht="25" x14ac:dyDescent="0.35">
      <c r="A17" s="17"/>
      <c r="B17" s="11"/>
      <c r="C17" s="11"/>
      <c r="D17" s="112"/>
      <c r="E17" s="112"/>
      <c r="F17" s="11"/>
      <c r="G17" s="20"/>
      <c r="H17" s="20" t="s">
        <v>55</v>
      </c>
      <c r="I17" s="11"/>
      <c r="J17" s="113"/>
      <c r="K17" s="16" t="s">
        <v>56</v>
      </c>
      <c r="L17" s="25" t="s">
        <v>27</v>
      </c>
      <c r="M17" s="116"/>
      <c r="N17" s="2" t="s">
        <v>22</v>
      </c>
      <c r="O17" s="11"/>
      <c r="P17" s="11"/>
      <c r="Q17" s="11"/>
      <c r="R17" s="11"/>
      <c r="S17" s="11"/>
    </row>
    <row r="18" spans="1:19" ht="15.5" x14ac:dyDescent="0.35">
      <c r="A18" s="17"/>
      <c r="B18" s="11"/>
      <c r="C18" s="11"/>
      <c r="D18" s="112"/>
      <c r="E18" s="112"/>
      <c r="F18" s="11"/>
      <c r="G18" s="20"/>
      <c r="H18" s="20" t="s">
        <v>57</v>
      </c>
      <c r="I18" s="11"/>
      <c r="J18" s="113"/>
      <c r="K18" s="16" t="s">
        <v>58</v>
      </c>
      <c r="L18" s="25" t="s">
        <v>27</v>
      </c>
      <c r="M18" s="116"/>
      <c r="N18" s="2" t="s">
        <v>22</v>
      </c>
      <c r="O18" s="11"/>
      <c r="P18" s="11"/>
      <c r="Q18" s="11"/>
      <c r="R18" s="11"/>
      <c r="S18" s="11"/>
    </row>
    <row r="19" spans="1:19" ht="25" x14ac:dyDescent="0.35">
      <c r="A19" s="17"/>
      <c r="B19" s="11"/>
      <c r="C19" s="11"/>
      <c r="D19" s="112"/>
      <c r="E19" s="112"/>
      <c r="F19" s="11"/>
      <c r="G19" s="20"/>
      <c r="H19" s="20" t="s">
        <v>59</v>
      </c>
      <c r="I19" s="11"/>
      <c r="J19" s="113"/>
      <c r="K19" s="165" t="s">
        <v>60</v>
      </c>
      <c r="L19" s="25"/>
      <c r="M19" s="116"/>
      <c r="N19" s="2" t="s">
        <v>22</v>
      </c>
      <c r="O19" s="11"/>
      <c r="P19" s="11"/>
      <c r="Q19" s="11"/>
      <c r="R19" s="11"/>
      <c r="S19" s="11"/>
    </row>
    <row r="20" spans="1:19" ht="15.5" x14ac:dyDescent="0.35">
      <c r="A20" s="17"/>
      <c r="B20" s="11"/>
      <c r="C20" s="11"/>
      <c r="D20" s="112"/>
      <c r="E20" s="112"/>
      <c r="F20" s="11"/>
      <c r="G20" s="20"/>
      <c r="H20" s="20" t="s">
        <v>61</v>
      </c>
      <c r="I20" s="11"/>
      <c r="J20" s="113"/>
      <c r="K20" s="16" t="s">
        <v>62</v>
      </c>
      <c r="L20" s="25" t="s">
        <v>27</v>
      </c>
      <c r="M20" s="116"/>
      <c r="N20" s="2" t="s">
        <v>22</v>
      </c>
      <c r="O20" s="11"/>
      <c r="P20" s="11"/>
      <c r="Q20" s="11"/>
      <c r="R20" s="11"/>
      <c r="S20" s="11"/>
    </row>
    <row r="21" spans="1:19" ht="15.5" x14ac:dyDescent="0.35">
      <c r="A21" s="17"/>
      <c r="B21" s="11"/>
      <c r="C21" s="11"/>
      <c r="D21" s="112"/>
      <c r="E21" s="112"/>
      <c r="F21" s="11"/>
      <c r="G21" s="20"/>
      <c r="H21" s="20" t="s">
        <v>63</v>
      </c>
      <c r="I21" s="11"/>
      <c r="J21" s="113"/>
      <c r="K21" s="16" t="s">
        <v>64</v>
      </c>
      <c r="L21" s="25" t="s">
        <v>27</v>
      </c>
      <c r="M21" s="116"/>
      <c r="N21" s="115" t="s">
        <v>22</v>
      </c>
      <c r="O21" s="11"/>
      <c r="P21" s="11"/>
      <c r="Q21" s="11"/>
      <c r="R21" s="11"/>
      <c r="S21" s="11"/>
    </row>
    <row r="22" spans="1:19" ht="29" x14ac:dyDescent="0.35">
      <c r="A22" s="17"/>
      <c r="B22" s="11"/>
      <c r="C22" s="11"/>
      <c r="D22" s="112"/>
      <c r="E22" s="112"/>
      <c r="F22" s="11"/>
      <c r="G22" s="20"/>
      <c r="H22" s="20" t="s">
        <v>65</v>
      </c>
      <c r="I22" s="11"/>
      <c r="J22" s="113"/>
      <c r="K22" s="119" t="s">
        <v>66</v>
      </c>
      <c r="L22" s="25"/>
      <c r="M22" s="116"/>
      <c r="N22" s="115" t="s">
        <v>22</v>
      </c>
      <c r="O22" s="11"/>
      <c r="P22" s="11"/>
      <c r="Q22" s="11"/>
      <c r="R22" s="11"/>
      <c r="S22" s="11"/>
    </row>
    <row r="23" spans="1:19" ht="15.5" x14ac:dyDescent="0.35">
      <c r="A23" s="17"/>
      <c r="B23" s="11"/>
      <c r="C23" s="11"/>
      <c r="D23" s="112"/>
      <c r="E23" s="112"/>
      <c r="F23" s="11"/>
      <c r="G23" s="20"/>
      <c r="H23" s="20" t="s">
        <v>67</v>
      </c>
      <c r="I23" s="11"/>
      <c r="J23" s="113"/>
      <c r="K23" s="16" t="s">
        <v>68</v>
      </c>
      <c r="L23" s="25" t="s">
        <v>27</v>
      </c>
      <c r="M23" s="116"/>
      <c r="N23" s="115" t="s">
        <v>22</v>
      </c>
      <c r="O23" s="11"/>
      <c r="P23" s="11"/>
      <c r="Q23" s="11"/>
      <c r="R23" s="11"/>
      <c r="S23" s="11"/>
    </row>
    <row r="24" spans="1:19" ht="87.5" x14ac:dyDescent="0.35">
      <c r="A24" s="17"/>
      <c r="B24" s="11"/>
      <c r="C24" s="11"/>
      <c r="D24" s="112"/>
      <c r="E24" s="112"/>
      <c r="F24" s="11"/>
      <c r="G24" s="20"/>
      <c r="H24" s="20" t="s">
        <v>69</v>
      </c>
      <c r="I24" s="11"/>
      <c r="J24" s="113" t="s">
        <v>70</v>
      </c>
      <c r="K24" s="16" t="s">
        <v>71</v>
      </c>
      <c r="L24" s="25" t="s">
        <v>27</v>
      </c>
      <c r="M24" s="116"/>
      <c r="N24" s="115" t="s">
        <v>22</v>
      </c>
      <c r="O24" s="11"/>
      <c r="P24" s="11"/>
      <c r="Q24" s="11"/>
      <c r="R24" s="11"/>
      <c r="S24" s="11"/>
    </row>
    <row r="25" spans="1:19" ht="15.5" x14ac:dyDescent="0.35">
      <c r="A25" s="17"/>
      <c r="B25" s="11"/>
      <c r="C25" s="11"/>
      <c r="D25" s="112"/>
      <c r="E25" s="112"/>
      <c r="F25" s="11"/>
      <c r="G25" s="20"/>
      <c r="H25" s="20" t="s">
        <v>72</v>
      </c>
      <c r="I25" s="11"/>
      <c r="J25" s="15"/>
      <c r="K25" s="16" t="s">
        <v>73</v>
      </c>
      <c r="L25" s="25" t="s">
        <v>27</v>
      </c>
      <c r="M25" s="116"/>
      <c r="N25" s="115" t="s">
        <v>22</v>
      </c>
      <c r="O25" s="11"/>
      <c r="P25" s="11"/>
      <c r="Q25" s="11"/>
      <c r="R25" s="11"/>
      <c r="S25" s="11"/>
    </row>
    <row r="26" spans="1:19" ht="29" x14ac:dyDescent="0.35">
      <c r="A26" s="17"/>
      <c r="B26" s="11"/>
      <c r="C26" s="11"/>
      <c r="D26" s="112"/>
      <c r="E26" s="112"/>
      <c r="F26" s="11"/>
      <c r="G26" s="20"/>
      <c r="H26" s="20" t="s">
        <v>74</v>
      </c>
      <c r="I26" s="11"/>
      <c r="J26" s="113" t="s">
        <v>75</v>
      </c>
      <c r="K26" s="181" t="s">
        <v>76</v>
      </c>
      <c r="L26" s="25"/>
      <c r="M26" s="116"/>
      <c r="N26" s="115" t="s">
        <v>77</v>
      </c>
      <c r="O26" s="11"/>
      <c r="P26" s="11"/>
      <c r="Q26" s="11"/>
      <c r="R26" s="11"/>
      <c r="S26" s="11"/>
    </row>
    <row r="27" spans="1:19" ht="15.5" x14ac:dyDescent="0.35">
      <c r="A27" s="17"/>
      <c r="B27" s="11"/>
      <c r="C27" s="11"/>
      <c r="D27" s="112"/>
      <c r="E27" s="112"/>
      <c r="F27" s="11"/>
      <c r="G27" s="20"/>
      <c r="H27" s="20" t="s">
        <v>78</v>
      </c>
      <c r="I27" s="11"/>
      <c r="J27" s="21" t="s">
        <v>49</v>
      </c>
      <c r="K27" s="114" t="s">
        <v>50</v>
      </c>
      <c r="L27" s="25" t="s">
        <v>27</v>
      </c>
      <c r="M27" s="116"/>
      <c r="N27" s="115" t="s">
        <v>22</v>
      </c>
      <c r="O27" s="11"/>
      <c r="P27" s="11"/>
      <c r="Q27" s="11"/>
      <c r="R27" s="11"/>
      <c r="S27" s="11"/>
    </row>
    <row r="28" spans="1:19" ht="15.5" x14ac:dyDescent="0.35">
      <c r="A28" s="17"/>
      <c r="B28" s="11"/>
      <c r="C28" s="11"/>
      <c r="D28" s="112"/>
      <c r="E28" s="112"/>
      <c r="F28" s="11"/>
      <c r="G28" s="20"/>
      <c r="H28" s="20" t="s">
        <v>79</v>
      </c>
      <c r="I28" s="11"/>
      <c r="J28" s="15"/>
      <c r="K28" s="16" t="s">
        <v>52</v>
      </c>
      <c r="L28" s="25" t="s">
        <v>27</v>
      </c>
      <c r="M28" s="116"/>
      <c r="N28" s="115" t="s">
        <v>22</v>
      </c>
      <c r="O28" s="11"/>
      <c r="P28" s="11"/>
      <c r="Q28" s="11"/>
      <c r="R28" s="11"/>
      <c r="S28" s="11"/>
    </row>
    <row r="29" spans="1:19" ht="15.5" x14ac:dyDescent="0.35">
      <c r="A29" s="17"/>
      <c r="B29" s="11"/>
      <c r="C29" s="11"/>
      <c r="D29" s="112"/>
      <c r="E29" s="112"/>
      <c r="F29" s="11"/>
      <c r="G29" s="20"/>
      <c r="H29" s="20" t="s">
        <v>80</v>
      </c>
      <c r="I29" s="11"/>
      <c r="J29" s="15"/>
      <c r="K29" s="16" t="s">
        <v>54</v>
      </c>
      <c r="L29" s="25" t="s">
        <v>27</v>
      </c>
      <c r="M29" s="116"/>
      <c r="N29" s="115" t="s">
        <v>22</v>
      </c>
      <c r="O29" s="11"/>
      <c r="P29" s="11"/>
      <c r="Q29" s="11"/>
      <c r="R29" s="11"/>
      <c r="S29" s="11"/>
    </row>
    <row r="30" spans="1:19" ht="25" x14ac:dyDescent="0.35">
      <c r="A30" s="17"/>
      <c r="B30" s="11"/>
      <c r="C30" s="11"/>
      <c r="D30" s="112"/>
      <c r="E30" s="112"/>
      <c r="F30" s="11"/>
      <c r="G30" s="20"/>
      <c r="H30" s="20" t="s">
        <v>81</v>
      </c>
      <c r="I30" s="11"/>
      <c r="J30" s="15"/>
      <c r="K30" s="16" t="s">
        <v>56</v>
      </c>
      <c r="L30" s="25" t="s">
        <v>27</v>
      </c>
      <c r="M30" s="116"/>
      <c r="N30" s="115" t="s">
        <v>22</v>
      </c>
      <c r="O30" s="11"/>
      <c r="P30" s="11"/>
      <c r="Q30" s="11"/>
      <c r="R30" s="11"/>
      <c r="S30" s="11"/>
    </row>
    <row r="31" spans="1:19" ht="15.5" x14ac:dyDescent="0.35">
      <c r="A31" s="17"/>
      <c r="B31" s="11"/>
      <c r="C31" s="11"/>
      <c r="D31" s="112"/>
      <c r="E31" s="112"/>
      <c r="F31" s="11"/>
      <c r="G31" s="20"/>
      <c r="H31" s="20" t="s">
        <v>82</v>
      </c>
      <c r="I31" s="11"/>
      <c r="J31" s="15"/>
      <c r="K31" s="16" t="s">
        <v>58</v>
      </c>
      <c r="L31" s="25" t="s">
        <v>27</v>
      </c>
      <c r="M31" s="116"/>
      <c r="N31" s="115" t="s">
        <v>22</v>
      </c>
      <c r="O31" s="11"/>
      <c r="P31" s="11"/>
      <c r="Q31" s="11"/>
      <c r="R31" s="11"/>
      <c r="S31" s="11"/>
    </row>
    <row r="32" spans="1:19" ht="15.5" x14ac:dyDescent="0.35">
      <c r="A32" s="17"/>
      <c r="B32" s="11"/>
      <c r="C32" s="11"/>
      <c r="D32" s="112"/>
      <c r="E32" s="112"/>
      <c r="F32" s="11"/>
      <c r="G32" s="20"/>
      <c r="H32" s="20" t="s">
        <v>83</v>
      </c>
      <c r="I32" s="11"/>
      <c r="J32" s="15"/>
      <c r="K32" s="16" t="s">
        <v>62</v>
      </c>
      <c r="L32" s="25" t="s">
        <v>27</v>
      </c>
      <c r="M32" s="116"/>
      <c r="N32" s="115" t="s">
        <v>22</v>
      </c>
      <c r="O32" s="11"/>
      <c r="P32" s="11"/>
      <c r="Q32" s="11"/>
      <c r="R32" s="11"/>
      <c r="S32" s="11"/>
    </row>
    <row r="33" spans="1:19" ht="25" x14ac:dyDescent="0.35">
      <c r="A33" s="17"/>
      <c r="B33" s="11"/>
      <c r="C33" s="11"/>
      <c r="D33" s="112"/>
      <c r="E33" s="112"/>
      <c r="F33" s="11"/>
      <c r="G33" s="20"/>
      <c r="H33" s="20" t="s">
        <v>84</v>
      </c>
      <c r="I33" s="11"/>
      <c r="J33" s="15"/>
      <c r="K33" s="165" t="s">
        <v>85</v>
      </c>
      <c r="L33" s="25" t="s">
        <v>27</v>
      </c>
      <c r="M33" s="116"/>
      <c r="N33" s="115" t="s">
        <v>22</v>
      </c>
      <c r="O33" s="11"/>
      <c r="P33" s="11"/>
      <c r="Q33" s="11"/>
      <c r="R33" s="11"/>
      <c r="S33" s="11"/>
    </row>
    <row r="34" spans="1:19" ht="15.5" x14ac:dyDescent="0.35">
      <c r="A34" s="17"/>
      <c r="B34" s="11"/>
      <c r="C34" s="11"/>
      <c r="D34" s="112"/>
      <c r="E34" s="112"/>
      <c r="F34" s="11"/>
      <c r="G34" s="20"/>
      <c r="H34" s="20" t="s">
        <v>86</v>
      </c>
      <c r="I34" s="11"/>
      <c r="J34" s="15"/>
      <c r="K34" s="165" t="s">
        <v>87</v>
      </c>
      <c r="L34" s="25" t="s">
        <v>27</v>
      </c>
      <c r="M34" s="116"/>
      <c r="N34" s="115" t="s">
        <v>22</v>
      </c>
      <c r="O34" s="11"/>
      <c r="P34" s="11"/>
      <c r="Q34" s="11"/>
      <c r="R34" s="11"/>
      <c r="S34" s="11"/>
    </row>
    <row r="35" spans="1:19" ht="15.5" x14ac:dyDescent="0.35">
      <c r="A35" s="17"/>
      <c r="B35" s="11"/>
      <c r="C35" s="11"/>
      <c r="D35" s="112"/>
      <c r="E35" s="112"/>
      <c r="F35" s="11"/>
      <c r="G35" s="20"/>
      <c r="H35" s="20" t="s">
        <v>88</v>
      </c>
      <c r="I35" s="11"/>
      <c r="J35" s="15"/>
      <c r="K35" s="16" t="s">
        <v>64</v>
      </c>
      <c r="L35" s="25" t="s">
        <v>27</v>
      </c>
      <c r="M35" s="116"/>
      <c r="N35" s="115" t="s">
        <v>22</v>
      </c>
      <c r="O35" s="11"/>
      <c r="P35" s="11"/>
      <c r="Q35" s="11"/>
      <c r="R35" s="11"/>
      <c r="S35" s="11"/>
    </row>
    <row r="36" spans="1:19" ht="15.5" x14ac:dyDescent="0.35">
      <c r="A36" s="17"/>
      <c r="B36" s="11"/>
      <c r="C36" s="11"/>
      <c r="D36" s="112"/>
      <c r="E36" s="112"/>
      <c r="F36" s="11"/>
      <c r="G36" s="20"/>
      <c r="H36" s="20" t="s">
        <v>89</v>
      </c>
      <c r="I36" s="11"/>
      <c r="J36" s="15"/>
      <c r="K36" s="16" t="s">
        <v>68</v>
      </c>
      <c r="L36" s="25" t="s">
        <v>27</v>
      </c>
      <c r="M36" s="116"/>
      <c r="N36" s="115" t="s">
        <v>22</v>
      </c>
      <c r="O36" s="11"/>
      <c r="P36" s="11"/>
      <c r="Q36" s="11"/>
      <c r="R36" s="11"/>
      <c r="S36" s="11"/>
    </row>
    <row r="37" spans="1:19" ht="25" x14ac:dyDescent="0.35">
      <c r="A37" s="17"/>
      <c r="B37" s="11"/>
      <c r="C37" s="11"/>
      <c r="D37" s="112"/>
      <c r="E37" s="112"/>
      <c r="F37" s="11"/>
      <c r="G37" s="20"/>
      <c r="H37" s="20" t="s">
        <v>90</v>
      </c>
      <c r="I37" s="11"/>
      <c r="J37" s="21" t="s">
        <v>91</v>
      </c>
      <c r="K37" s="16" t="s">
        <v>92</v>
      </c>
      <c r="L37" s="25" t="s">
        <v>27</v>
      </c>
      <c r="M37" s="116"/>
      <c r="N37" s="115" t="s">
        <v>22</v>
      </c>
      <c r="O37" s="11"/>
      <c r="P37" s="11"/>
      <c r="Q37" s="11"/>
      <c r="R37" s="11"/>
      <c r="S37" s="11"/>
    </row>
    <row r="38" spans="1:19" ht="15.5" x14ac:dyDescent="0.35">
      <c r="A38" s="17"/>
      <c r="B38" s="11"/>
      <c r="C38" s="11"/>
      <c r="D38" s="112"/>
      <c r="E38" s="112"/>
      <c r="F38" s="11"/>
      <c r="G38" s="20"/>
      <c r="H38" s="20" t="s">
        <v>93</v>
      </c>
      <c r="I38" s="11"/>
      <c r="J38" s="15"/>
      <c r="K38" s="16" t="s">
        <v>94</v>
      </c>
      <c r="L38" s="25" t="s">
        <v>27</v>
      </c>
      <c r="M38" s="116"/>
      <c r="N38" s="115" t="s">
        <v>22</v>
      </c>
      <c r="O38" s="11"/>
      <c r="P38" s="11"/>
      <c r="Q38" s="11"/>
      <c r="R38" s="11"/>
      <c r="S38" s="11"/>
    </row>
    <row r="39" spans="1:19" ht="25" x14ac:dyDescent="0.35">
      <c r="A39" s="17"/>
      <c r="B39" s="11"/>
      <c r="C39" s="11"/>
      <c r="D39" s="112"/>
      <c r="E39" s="112"/>
      <c r="F39" s="11"/>
      <c r="G39" s="20"/>
      <c r="H39" s="20" t="s">
        <v>95</v>
      </c>
      <c r="I39" s="11"/>
      <c r="J39" s="15"/>
      <c r="K39" s="16" t="s">
        <v>96</v>
      </c>
      <c r="L39" s="25" t="s">
        <v>27</v>
      </c>
      <c r="M39" s="116"/>
      <c r="N39" s="115" t="s">
        <v>22</v>
      </c>
      <c r="O39" s="11"/>
      <c r="P39" s="11"/>
      <c r="Q39" s="11"/>
      <c r="R39" s="11"/>
      <c r="S39" s="11"/>
    </row>
    <row r="40" spans="1:19" ht="15.5" x14ac:dyDescent="0.35">
      <c r="A40" s="17"/>
      <c r="B40" s="11"/>
      <c r="C40" s="11"/>
      <c r="D40" s="112"/>
      <c r="E40" s="112"/>
      <c r="F40" s="11"/>
      <c r="G40" s="20"/>
      <c r="H40" s="20" t="s">
        <v>97</v>
      </c>
      <c r="I40" s="11"/>
      <c r="J40" s="15"/>
      <c r="K40" s="16" t="s">
        <v>98</v>
      </c>
      <c r="L40" s="25" t="s">
        <v>27</v>
      </c>
      <c r="M40" s="116"/>
      <c r="N40" s="115" t="s">
        <v>22</v>
      </c>
      <c r="O40" s="11"/>
      <c r="P40" s="11"/>
      <c r="Q40" s="11"/>
      <c r="R40" s="11"/>
      <c r="S40" s="11"/>
    </row>
    <row r="41" spans="1:19" ht="25" x14ac:dyDescent="0.35">
      <c r="A41" s="17"/>
      <c r="B41" s="11"/>
      <c r="C41" s="11"/>
      <c r="D41" s="112"/>
      <c r="E41" s="112"/>
      <c r="F41" s="11"/>
      <c r="G41" s="20"/>
      <c r="H41" s="20" t="s">
        <v>99</v>
      </c>
      <c r="I41" s="11"/>
      <c r="J41" s="15"/>
      <c r="K41" s="16" t="s">
        <v>100</v>
      </c>
      <c r="L41" s="25" t="s">
        <v>27</v>
      </c>
      <c r="M41" s="116"/>
      <c r="N41" s="115" t="s">
        <v>22</v>
      </c>
      <c r="O41" s="11"/>
      <c r="P41" s="11"/>
      <c r="Q41" s="11"/>
      <c r="R41" s="11"/>
      <c r="S41" s="11"/>
    </row>
    <row r="42" spans="1:19" ht="25" x14ac:dyDescent="0.35">
      <c r="A42" s="17"/>
      <c r="B42" s="11"/>
      <c r="C42" s="11"/>
      <c r="D42" s="112"/>
      <c r="E42" s="112"/>
      <c r="F42" s="11"/>
      <c r="G42" s="20"/>
      <c r="H42" s="20" t="s">
        <v>101</v>
      </c>
      <c r="I42" s="11"/>
      <c r="J42" s="15"/>
      <c r="K42" s="16" t="s">
        <v>102</v>
      </c>
      <c r="L42" s="25" t="s">
        <v>27</v>
      </c>
      <c r="M42" s="116"/>
      <c r="N42" s="115" t="s">
        <v>22</v>
      </c>
      <c r="O42" s="11"/>
      <c r="P42" s="11"/>
      <c r="Q42" s="11"/>
      <c r="R42" s="11"/>
      <c r="S42" s="11"/>
    </row>
    <row r="43" spans="1:19" ht="15.5" x14ac:dyDescent="0.35">
      <c r="A43" s="17"/>
      <c r="B43" s="11"/>
      <c r="C43" s="11"/>
      <c r="D43" s="112"/>
      <c r="E43" s="112"/>
      <c r="F43" s="11"/>
      <c r="G43" s="20"/>
      <c r="H43" s="20" t="s">
        <v>103</v>
      </c>
      <c r="I43" s="11"/>
      <c r="J43" s="15"/>
      <c r="K43" s="16" t="s">
        <v>104</v>
      </c>
      <c r="L43" s="25" t="s">
        <v>27</v>
      </c>
      <c r="M43" s="116"/>
      <c r="N43" s="115" t="s">
        <v>22</v>
      </c>
      <c r="O43" s="11"/>
      <c r="P43" s="11"/>
      <c r="Q43" s="11"/>
      <c r="R43" s="11"/>
      <c r="S43" s="11"/>
    </row>
    <row r="44" spans="1:19" ht="25" x14ac:dyDescent="0.35">
      <c r="A44" s="17"/>
      <c r="B44" s="11"/>
      <c r="C44" s="11"/>
      <c r="D44" s="112"/>
      <c r="E44" s="112"/>
      <c r="F44" s="11"/>
      <c r="G44" s="20"/>
      <c r="H44" s="20" t="s">
        <v>105</v>
      </c>
      <c r="I44" s="11"/>
      <c r="J44" s="15"/>
      <c r="K44" s="16" t="s">
        <v>106</v>
      </c>
      <c r="L44" s="25" t="s">
        <v>27</v>
      </c>
      <c r="M44" s="116"/>
      <c r="N44" s="115" t="s">
        <v>22</v>
      </c>
      <c r="O44" s="11"/>
      <c r="P44" s="11"/>
      <c r="Q44" s="11"/>
      <c r="R44" s="11"/>
      <c r="S44" s="11"/>
    </row>
    <row r="45" spans="1:19" ht="15.5" x14ac:dyDescent="0.35">
      <c r="A45" s="17"/>
      <c r="B45" s="11"/>
      <c r="C45" s="11"/>
      <c r="D45" s="112"/>
      <c r="E45" s="112"/>
      <c r="F45" s="11"/>
      <c r="G45" s="20"/>
      <c r="H45" s="20" t="s">
        <v>107</v>
      </c>
      <c r="I45" s="11"/>
      <c r="J45" s="15"/>
      <c r="K45" s="16" t="s">
        <v>108</v>
      </c>
      <c r="L45" s="25" t="s">
        <v>27</v>
      </c>
      <c r="M45" s="116"/>
      <c r="N45" s="115" t="s">
        <v>22</v>
      </c>
      <c r="O45" s="11"/>
      <c r="P45" s="11"/>
      <c r="Q45" s="11"/>
      <c r="R45" s="11"/>
      <c r="S45" s="11"/>
    </row>
    <row r="46" spans="1:19" ht="45.65" customHeight="1" x14ac:dyDescent="0.35">
      <c r="A46" s="63"/>
      <c r="B46" s="64"/>
      <c r="C46" s="64"/>
      <c r="D46" s="65"/>
      <c r="E46" s="66"/>
      <c r="F46" s="64"/>
      <c r="G46" s="67"/>
      <c r="H46" s="20" t="s">
        <v>109</v>
      </c>
      <c r="I46" s="74" t="s">
        <v>110</v>
      </c>
      <c r="J46" s="15"/>
      <c r="K46" s="53" t="s">
        <v>111</v>
      </c>
      <c r="L46" s="25" t="s">
        <v>27</v>
      </c>
      <c r="M46" s="75"/>
      <c r="N46" s="2" t="s">
        <v>22</v>
      </c>
      <c r="O46" s="64"/>
      <c r="P46" s="64"/>
      <c r="Q46" s="73"/>
      <c r="R46" s="64"/>
      <c r="S46" s="64"/>
    </row>
    <row r="47" spans="1:19" ht="25" x14ac:dyDescent="0.35">
      <c r="A47" s="182"/>
      <c r="B47" s="183"/>
      <c r="C47" s="183"/>
      <c r="D47" s="184"/>
      <c r="E47" s="185"/>
      <c r="F47" s="183"/>
      <c r="G47" s="186"/>
      <c r="H47" s="20" t="s">
        <v>112</v>
      </c>
      <c r="I47" s="190"/>
      <c r="J47" s="187"/>
      <c r="K47" s="165" t="s">
        <v>31</v>
      </c>
      <c r="L47" s="25" t="s">
        <v>27</v>
      </c>
      <c r="M47" s="188"/>
      <c r="N47" s="2" t="s">
        <v>22</v>
      </c>
      <c r="O47" s="183"/>
      <c r="P47" s="183"/>
      <c r="Q47" s="189"/>
      <c r="R47" s="183"/>
      <c r="S47" s="183"/>
    </row>
    <row r="48" spans="1:19" ht="37.5" x14ac:dyDescent="0.35">
      <c r="A48" s="182"/>
      <c r="B48" s="183"/>
      <c r="C48" s="183"/>
      <c r="D48" s="184"/>
      <c r="E48" s="185"/>
      <c r="F48" s="183"/>
      <c r="G48" s="186"/>
      <c r="H48" s="20" t="s">
        <v>113</v>
      </c>
      <c r="I48" s="190"/>
      <c r="J48" s="187"/>
      <c r="K48" s="165" t="s">
        <v>33</v>
      </c>
      <c r="L48" s="25" t="s">
        <v>27</v>
      </c>
      <c r="M48" s="188"/>
      <c r="N48" s="2" t="s">
        <v>22</v>
      </c>
      <c r="O48" s="183"/>
      <c r="P48" s="183"/>
      <c r="Q48" s="189"/>
      <c r="R48" s="183"/>
      <c r="S48" s="183"/>
    </row>
    <row r="49" spans="1:19" ht="37.5" x14ac:dyDescent="0.35">
      <c r="A49" s="182"/>
      <c r="B49" s="183"/>
      <c r="C49" s="183"/>
      <c r="D49" s="184"/>
      <c r="E49" s="185"/>
      <c r="F49" s="183"/>
      <c r="G49" s="186"/>
      <c r="H49" s="20" t="s">
        <v>114</v>
      </c>
      <c r="I49" s="190"/>
      <c r="J49" s="187"/>
      <c r="K49" s="165" t="s">
        <v>35</v>
      </c>
      <c r="L49" s="25" t="s">
        <v>27</v>
      </c>
      <c r="M49" s="188"/>
      <c r="N49" s="2" t="s">
        <v>22</v>
      </c>
      <c r="O49" s="183"/>
      <c r="P49" s="183"/>
      <c r="Q49" s="189"/>
      <c r="R49" s="183"/>
      <c r="S49" s="183"/>
    </row>
    <row r="50" spans="1:19" ht="37.5" x14ac:dyDescent="0.35">
      <c r="A50" s="182"/>
      <c r="B50" s="183"/>
      <c r="C50" s="183"/>
      <c r="D50" s="184"/>
      <c r="E50" s="185"/>
      <c r="F50" s="183"/>
      <c r="G50" s="186"/>
      <c r="H50" s="20" t="s">
        <v>115</v>
      </c>
      <c r="I50" s="190"/>
      <c r="J50" s="187"/>
      <c r="K50" s="165" t="s">
        <v>37</v>
      </c>
      <c r="L50" s="25" t="s">
        <v>27</v>
      </c>
      <c r="M50" s="188"/>
      <c r="N50" s="2" t="s">
        <v>22</v>
      </c>
      <c r="O50" s="183"/>
      <c r="P50" s="183"/>
      <c r="Q50" s="189"/>
      <c r="R50" s="183"/>
      <c r="S50" s="183"/>
    </row>
    <row r="51" spans="1:19" ht="25" x14ac:dyDescent="0.35">
      <c r="A51" s="182"/>
      <c r="B51" s="183"/>
      <c r="C51" s="183"/>
      <c r="D51" s="184"/>
      <c r="E51" s="185"/>
      <c r="F51" s="183"/>
      <c r="G51" s="186"/>
      <c r="H51" s="20" t="s">
        <v>116</v>
      </c>
      <c r="I51" s="190"/>
      <c r="J51" s="187"/>
      <c r="K51" s="150" t="s">
        <v>39</v>
      </c>
      <c r="L51" s="25" t="s">
        <v>27</v>
      </c>
      <c r="M51" s="188"/>
      <c r="N51" s="2" t="s">
        <v>22</v>
      </c>
      <c r="O51" s="183"/>
      <c r="P51" s="183"/>
      <c r="Q51" s="189"/>
      <c r="R51" s="183"/>
      <c r="S51" s="183"/>
    </row>
    <row r="52" spans="1:19" ht="26.5" x14ac:dyDescent="0.35">
      <c r="A52" s="78"/>
      <c r="B52" s="64"/>
      <c r="C52" s="64"/>
      <c r="D52" s="65"/>
      <c r="E52" s="66"/>
      <c r="F52" s="64"/>
      <c r="G52" s="67"/>
      <c r="H52" s="20" t="s">
        <v>117</v>
      </c>
      <c r="I52" s="64"/>
      <c r="J52" s="81" t="s">
        <v>49</v>
      </c>
      <c r="K52" s="53" t="s">
        <v>118</v>
      </c>
      <c r="L52" s="25" t="s">
        <v>27</v>
      </c>
      <c r="M52" s="80"/>
      <c r="N52" s="2" t="s">
        <v>22</v>
      </c>
      <c r="O52" s="64"/>
      <c r="P52" s="64"/>
      <c r="Q52" s="64"/>
      <c r="R52" s="64"/>
      <c r="S52" s="64"/>
    </row>
    <row r="53" spans="1:19" ht="15.5" x14ac:dyDescent="0.35">
      <c r="A53" s="78"/>
      <c r="B53" s="64"/>
      <c r="C53" s="64"/>
      <c r="D53" s="65"/>
      <c r="E53" s="66"/>
      <c r="F53" s="64"/>
      <c r="G53" s="67"/>
      <c r="H53" s="20" t="s">
        <v>119</v>
      </c>
      <c r="I53" s="64"/>
      <c r="J53" s="76"/>
      <c r="K53" s="77" t="s">
        <v>52</v>
      </c>
      <c r="L53" s="25" t="s">
        <v>27</v>
      </c>
      <c r="M53" s="80"/>
      <c r="N53" s="2" t="s">
        <v>22</v>
      </c>
      <c r="O53" s="64"/>
      <c r="P53" s="64"/>
      <c r="Q53" s="64"/>
      <c r="R53" s="64"/>
      <c r="S53" s="64"/>
    </row>
    <row r="54" spans="1:19" ht="15.5" x14ac:dyDescent="0.35">
      <c r="A54" s="78"/>
      <c r="B54" s="64"/>
      <c r="C54" s="64"/>
      <c r="D54" s="65"/>
      <c r="E54" s="66"/>
      <c r="F54" s="64"/>
      <c r="G54" s="67"/>
      <c r="H54" s="20" t="s">
        <v>120</v>
      </c>
      <c r="I54" s="64"/>
      <c r="J54" s="76"/>
      <c r="K54" s="77" t="s">
        <v>54</v>
      </c>
      <c r="L54" s="25" t="s">
        <v>27</v>
      </c>
      <c r="M54" s="80"/>
      <c r="N54" s="2" t="s">
        <v>22</v>
      </c>
      <c r="O54" s="64"/>
      <c r="P54" s="64"/>
      <c r="Q54" s="64"/>
      <c r="R54" s="64"/>
      <c r="S54" s="64"/>
    </row>
    <row r="55" spans="1:19" ht="26" x14ac:dyDescent="0.35">
      <c r="A55" s="78"/>
      <c r="B55" s="64"/>
      <c r="C55" s="64"/>
      <c r="D55" s="65"/>
      <c r="E55" s="66"/>
      <c r="F55" s="64"/>
      <c r="G55" s="67"/>
      <c r="H55" s="20" t="s">
        <v>121</v>
      </c>
      <c r="I55" s="64"/>
      <c r="J55" s="76"/>
      <c r="K55" s="77" t="s">
        <v>56</v>
      </c>
      <c r="L55" s="25" t="s">
        <v>27</v>
      </c>
      <c r="M55" s="80"/>
      <c r="N55" s="2" t="s">
        <v>22</v>
      </c>
      <c r="O55" s="64"/>
      <c r="P55" s="64"/>
      <c r="Q55" s="64"/>
      <c r="R55" s="64"/>
      <c r="S55" s="64"/>
    </row>
    <row r="56" spans="1:19" ht="15.5" x14ac:dyDescent="0.35">
      <c r="A56" s="78"/>
      <c r="B56" s="64"/>
      <c r="C56" s="64"/>
      <c r="D56" s="65"/>
      <c r="E56" s="66"/>
      <c r="F56" s="64"/>
      <c r="G56" s="67"/>
      <c r="H56" s="20" t="s">
        <v>122</v>
      </c>
      <c r="I56" s="64"/>
      <c r="J56" s="76"/>
      <c r="K56" s="77" t="s">
        <v>58</v>
      </c>
      <c r="L56" s="25" t="s">
        <v>27</v>
      </c>
      <c r="M56" s="80"/>
      <c r="N56" s="2" t="s">
        <v>22</v>
      </c>
      <c r="O56" s="64"/>
      <c r="P56" s="64"/>
      <c r="Q56" s="64"/>
      <c r="R56" s="64"/>
      <c r="S56" s="64"/>
    </row>
    <row r="57" spans="1:19" ht="29" x14ac:dyDescent="0.35">
      <c r="A57" s="78"/>
      <c r="B57" s="64"/>
      <c r="C57" s="64"/>
      <c r="D57" s="65"/>
      <c r="E57" s="66"/>
      <c r="F57" s="64"/>
      <c r="G57" s="67"/>
      <c r="H57" s="20" t="s">
        <v>123</v>
      </c>
      <c r="I57" s="64"/>
      <c r="J57" s="76"/>
      <c r="K57" s="119" t="s">
        <v>66</v>
      </c>
      <c r="L57" s="25" t="s">
        <v>27</v>
      </c>
      <c r="M57" s="80"/>
      <c r="N57" s="2" t="s">
        <v>22</v>
      </c>
      <c r="O57" s="64"/>
      <c r="P57" s="64"/>
      <c r="Q57" s="64"/>
      <c r="R57" s="64"/>
      <c r="S57" s="64"/>
    </row>
    <row r="58" spans="1:19" ht="15.5" x14ac:dyDescent="0.35">
      <c r="A58" s="78"/>
      <c r="B58" s="64"/>
      <c r="C58" s="64"/>
      <c r="D58" s="65"/>
      <c r="E58" s="66"/>
      <c r="F58" s="64"/>
      <c r="G58" s="67"/>
      <c r="H58" s="20" t="s">
        <v>124</v>
      </c>
      <c r="I58" s="64"/>
      <c r="J58" s="76"/>
      <c r="K58" s="77" t="s">
        <v>62</v>
      </c>
      <c r="L58" s="25" t="s">
        <v>27</v>
      </c>
      <c r="M58" s="80"/>
      <c r="N58" s="2" t="s">
        <v>22</v>
      </c>
      <c r="O58" s="64"/>
      <c r="P58" s="64"/>
      <c r="Q58" s="64"/>
      <c r="R58" s="64"/>
      <c r="S58" s="64"/>
    </row>
    <row r="59" spans="1:19" ht="15.5" x14ac:dyDescent="0.35">
      <c r="A59" s="78"/>
      <c r="B59" s="64"/>
      <c r="C59" s="64"/>
      <c r="D59" s="65"/>
      <c r="E59" s="66"/>
      <c r="F59" s="64"/>
      <c r="G59" s="67"/>
      <c r="H59" s="20" t="s">
        <v>125</v>
      </c>
      <c r="I59" s="64"/>
      <c r="J59" s="76"/>
      <c r="K59" s="77" t="s">
        <v>64</v>
      </c>
      <c r="L59" s="25" t="s">
        <v>27</v>
      </c>
      <c r="M59" s="80"/>
      <c r="N59" s="2" t="s">
        <v>22</v>
      </c>
      <c r="O59" s="64"/>
      <c r="P59" s="64"/>
      <c r="Q59" s="64"/>
      <c r="R59" s="64"/>
      <c r="S59" s="64"/>
    </row>
    <row r="60" spans="1:19" ht="15.5" x14ac:dyDescent="0.35">
      <c r="A60" s="78"/>
      <c r="B60" s="64"/>
      <c r="C60" s="64"/>
      <c r="D60" s="65"/>
      <c r="E60" s="66"/>
      <c r="F60" s="64"/>
      <c r="G60" s="67"/>
      <c r="H60" s="20" t="s">
        <v>126</v>
      </c>
      <c r="I60" s="64"/>
      <c r="J60" s="76"/>
      <c r="K60" s="77" t="s">
        <v>68</v>
      </c>
      <c r="L60" s="25" t="s">
        <v>27</v>
      </c>
      <c r="M60" s="80"/>
      <c r="N60" s="2" t="s">
        <v>22</v>
      </c>
      <c r="O60" s="64"/>
      <c r="P60" s="64"/>
      <c r="Q60" s="64"/>
      <c r="R60" s="64"/>
      <c r="S60" s="64"/>
    </row>
    <row r="61" spans="1:19" ht="26" x14ac:dyDescent="0.35">
      <c r="A61" s="78"/>
      <c r="B61" s="64"/>
      <c r="C61" s="64"/>
      <c r="D61" s="65"/>
      <c r="E61" s="66"/>
      <c r="F61" s="64"/>
      <c r="G61" s="67"/>
      <c r="H61" s="20" t="s">
        <v>127</v>
      </c>
      <c r="I61" s="64"/>
      <c r="J61" s="81" t="s">
        <v>91</v>
      </c>
      <c r="K61" s="77" t="s">
        <v>128</v>
      </c>
      <c r="L61" s="25" t="s">
        <v>27</v>
      </c>
      <c r="M61" s="80"/>
      <c r="N61" s="2" t="s">
        <v>22</v>
      </c>
      <c r="O61" s="64"/>
      <c r="P61" s="64"/>
      <c r="Q61" s="64"/>
      <c r="R61" s="64"/>
      <c r="S61" s="64"/>
    </row>
    <row r="62" spans="1:19" ht="26" x14ac:dyDescent="0.35">
      <c r="A62" s="78"/>
      <c r="B62" s="64"/>
      <c r="C62" s="64"/>
      <c r="D62" s="65"/>
      <c r="E62" s="66"/>
      <c r="F62" s="64"/>
      <c r="G62" s="67"/>
      <c r="H62" s="20" t="s">
        <v>129</v>
      </c>
      <c r="I62" s="64"/>
      <c r="J62" s="81"/>
      <c r="K62" s="77" t="s">
        <v>92</v>
      </c>
      <c r="L62" s="25" t="s">
        <v>27</v>
      </c>
      <c r="M62" s="80"/>
      <c r="N62" s="2" t="s">
        <v>22</v>
      </c>
      <c r="O62" s="64"/>
      <c r="P62" s="64"/>
      <c r="Q62" s="64"/>
      <c r="R62" s="64"/>
      <c r="S62" s="64"/>
    </row>
    <row r="63" spans="1:19" ht="15.5" x14ac:dyDescent="0.35">
      <c r="A63" s="78"/>
      <c r="B63" s="64"/>
      <c r="C63" s="64"/>
      <c r="D63" s="65"/>
      <c r="E63" s="66"/>
      <c r="F63" s="64"/>
      <c r="G63" s="67"/>
      <c r="H63" s="20" t="s">
        <v>130</v>
      </c>
      <c r="I63" s="64"/>
      <c r="J63" s="76"/>
      <c r="K63" s="77" t="s">
        <v>94</v>
      </c>
      <c r="L63" s="25" t="s">
        <v>27</v>
      </c>
      <c r="M63" s="80"/>
      <c r="N63" s="2" t="s">
        <v>22</v>
      </c>
      <c r="O63" s="64"/>
      <c r="P63" s="64"/>
      <c r="Q63" s="64"/>
      <c r="R63" s="64"/>
      <c r="S63" s="64"/>
    </row>
    <row r="64" spans="1:19" ht="26" x14ac:dyDescent="0.35">
      <c r="A64" s="78"/>
      <c r="B64" s="64"/>
      <c r="C64" s="64"/>
      <c r="D64" s="65"/>
      <c r="E64" s="66"/>
      <c r="F64" s="64"/>
      <c r="G64" s="67"/>
      <c r="H64" s="20" t="s">
        <v>131</v>
      </c>
      <c r="I64" s="64"/>
      <c r="J64" s="76"/>
      <c r="K64" s="77" t="s">
        <v>96</v>
      </c>
      <c r="L64" s="25" t="s">
        <v>27</v>
      </c>
      <c r="M64" s="80"/>
      <c r="N64" s="2" t="s">
        <v>22</v>
      </c>
      <c r="O64" s="64"/>
      <c r="P64" s="64"/>
      <c r="Q64" s="64"/>
      <c r="R64" s="64"/>
      <c r="S64" s="64"/>
    </row>
    <row r="65" spans="1:19" ht="15.5" x14ac:dyDescent="0.35">
      <c r="A65" s="78"/>
      <c r="B65" s="64"/>
      <c r="C65" s="64"/>
      <c r="D65" s="65"/>
      <c r="E65" s="66"/>
      <c r="F65" s="64"/>
      <c r="G65" s="67"/>
      <c r="H65" s="20" t="s">
        <v>132</v>
      </c>
      <c r="I65" s="64"/>
      <c r="J65" s="76"/>
      <c r="K65" s="77" t="s">
        <v>98</v>
      </c>
      <c r="L65" s="25" t="s">
        <v>27</v>
      </c>
      <c r="M65" s="80"/>
      <c r="N65" s="2" t="s">
        <v>22</v>
      </c>
      <c r="O65" s="64"/>
      <c r="P65" s="64"/>
      <c r="Q65" s="64"/>
      <c r="R65" s="64"/>
      <c r="S65" s="64"/>
    </row>
    <row r="66" spans="1:19" ht="15.5" x14ac:dyDescent="0.35">
      <c r="A66" s="78"/>
      <c r="B66" s="64"/>
      <c r="C66" s="64"/>
      <c r="D66" s="65"/>
      <c r="E66" s="66"/>
      <c r="F66" s="64"/>
      <c r="G66" s="67"/>
      <c r="H66" s="20" t="s">
        <v>133</v>
      </c>
      <c r="I66" s="64"/>
      <c r="J66" s="76"/>
      <c r="K66" s="77" t="s">
        <v>106</v>
      </c>
      <c r="L66" s="25" t="s">
        <v>27</v>
      </c>
      <c r="M66" s="82"/>
      <c r="N66" s="2" t="s">
        <v>22</v>
      </c>
      <c r="O66" s="64"/>
      <c r="P66" s="64"/>
      <c r="Q66" s="64"/>
      <c r="R66" s="64"/>
      <c r="S66" s="64"/>
    </row>
    <row r="85" spans="1:19" s="92" customFormat="1" x14ac:dyDescent="0.35">
      <c r="A85"/>
      <c r="B85"/>
      <c r="C85"/>
      <c r="D85"/>
      <c r="E85"/>
      <c r="F85"/>
      <c r="G85"/>
      <c r="H85"/>
      <c r="I85"/>
      <c r="J85"/>
      <c r="K85" s="117"/>
      <c r="L85" s="57"/>
      <c r="M85"/>
      <c r="N85"/>
      <c r="O85"/>
      <c r="P85"/>
      <c r="Q85"/>
      <c r="R85"/>
      <c r="S85"/>
    </row>
    <row r="98" spans="1:19" s="92" customFormat="1" x14ac:dyDescent="0.35">
      <c r="A98"/>
      <c r="B98"/>
      <c r="C98"/>
      <c r="D98"/>
      <c r="E98"/>
      <c r="F98"/>
      <c r="G98"/>
      <c r="H98"/>
      <c r="I98"/>
      <c r="J98"/>
      <c r="K98" s="117"/>
      <c r="L98" s="57"/>
      <c r="M98"/>
      <c r="N98"/>
      <c r="O98"/>
      <c r="P98"/>
      <c r="Q98"/>
      <c r="R98"/>
      <c r="S98"/>
    </row>
    <row r="111" spans="1:19" s="92" customFormat="1" x14ac:dyDescent="0.35">
      <c r="A111"/>
      <c r="B111"/>
      <c r="C111"/>
      <c r="D111"/>
      <c r="E111"/>
      <c r="F111"/>
      <c r="G111"/>
      <c r="H111"/>
      <c r="I111"/>
      <c r="J111"/>
      <c r="K111" s="117"/>
      <c r="L111" s="57"/>
      <c r="M111"/>
      <c r="N111"/>
      <c r="O111"/>
      <c r="P111"/>
      <c r="Q111"/>
      <c r="R111"/>
      <c r="S111"/>
    </row>
  </sheetData>
  <phoneticPr fontId="12" type="noConversion"/>
  <conditionalFormatting sqref="A3:C45 A52:C66">
    <cfRule type="expression" dxfId="43" priority="1" stopIfTrue="1">
      <formula>(#REF! = "Not First Step")</formula>
    </cfRule>
  </conditionalFormatting>
  <conditionalFormatting sqref="B2:C2 B46:C51">
    <cfRule type="expression" dxfId="42" priority="145" stopIfTrue="1">
      <formula>(#REF! = "Not First Step")</formula>
    </cfRule>
  </conditionalFormatting>
  <conditionalFormatting sqref="F2 F46:F51">
    <cfRule type="expression" dxfId="41" priority="142" stopIfTrue="1">
      <formula>(#REF! = "Not First Step")</formula>
    </cfRule>
  </conditionalFormatting>
  <dataValidations count="2">
    <dataValidation type="list" allowBlank="1" showInputMessage="1" showErrorMessage="1" sqref="F1:F66" xr:uid="{AE653DDF-3DC6-4EBF-A5B1-C852B71A8854}">
      <formula1>Status</formula1>
    </dataValidation>
    <dataValidation type="list" allowBlank="1" showInputMessage="1" showErrorMessage="1" sqref="N2:N66" xr:uid="{039CF4C3-5FC1-4AE3-AA85-23CBF2EA9ECE}">
      <formula1>"Pass,Fail,Deferred,Not Valid,Not Applicable,In Progress,No Run"</formula1>
    </dataValidation>
  </dataValidations>
  <hyperlinks>
    <hyperlink ref="K22" r:id="rId1" display="https://uhgazure.sharepoint.com/:x:/r/teams/NavigateNowQuality/Shared%20Documents/General/Helpful%20Documents/Level%20Funded%20legal%20entities.xlsx?d=web66e7c2bc3c440cbada4bfaf3edaee3&amp;csf=1&amp;web=1&amp;e=vdV1OxClick here for SL file" xr:uid="{123C2581-95EF-47AD-87AC-7540B15D96CE}"/>
    <hyperlink ref="K57" r:id="rId2" display="https://uhgazure.sharepoint.com/:x:/r/teams/NavigateNowQuality/Shared%20Documents/General/Helpful%20Documents/Level%20Funded%20legal%20entities.xlsx?d=web66e7c2bc3c440cbada4bfaf3edaee3&amp;csf=1&amp;web=1&amp;e=vdV1OxClick here for SL file" xr:uid="{2C296392-B0AE-435C-9E7F-D70A41BE2F77}"/>
  </hyperlinks>
  <pageMargins left="0.7" right="0.7" top="0.75" bottom="0.75" header="0.3" footer="0.3"/>
  <pageSetup orientation="portrait" r:id="rId3"/>
  <legacy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C1B56-DA1C-49C8-802E-4C2C0956AFEE}">
  <dimension ref="A1:S36"/>
  <sheetViews>
    <sheetView topLeftCell="F22" workbookViewId="0">
      <selection activeCell="N39" sqref="N39"/>
    </sheetView>
  </sheetViews>
  <sheetFormatPr defaultRowHeight="14.5" x14ac:dyDescent="0.35"/>
  <cols>
    <col min="1" max="1" width="18.453125" customWidth="1"/>
    <col min="2" max="2" width="14.453125" customWidth="1"/>
    <col min="3" max="3" width="11.54296875" customWidth="1"/>
    <col min="4" max="4" width="9.453125" customWidth="1"/>
    <col min="5" max="5" width="13.453125" customWidth="1"/>
    <col min="6" max="6" width="10.453125" customWidth="1"/>
    <col min="7" max="7" width="14.54296875" customWidth="1"/>
    <col min="8" max="8" width="10.453125" customWidth="1"/>
    <col min="9" max="9" width="24.54296875" customWidth="1"/>
    <col min="10" max="10" width="32.453125" customWidth="1"/>
    <col min="11" max="11" width="44.54296875" customWidth="1"/>
    <col min="12" max="12" width="25.453125" bestFit="1" customWidth="1"/>
    <col min="13" max="13" width="14.453125" bestFit="1" customWidth="1"/>
    <col min="14" max="14" width="15.54296875" customWidth="1"/>
    <col min="16" max="16" width="30" customWidth="1"/>
    <col min="19" max="19" width="18.54296875" customWidth="1"/>
  </cols>
  <sheetData>
    <row r="1" spans="1:19" ht="39" x14ac:dyDescent="0.35">
      <c r="A1" s="58" t="s">
        <v>0</v>
      </c>
      <c r="B1" s="58" t="s">
        <v>1</v>
      </c>
      <c r="C1" s="58" t="s">
        <v>2</v>
      </c>
      <c r="D1" s="58" t="s">
        <v>3</v>
      </c>
      <c r="E1" s="58" t="s">
        <v>4</v>
      </c>
      <c r="F1" s="58" t="s">
        <v>5</v>
      </c>
      <c r="G1" s="58" t="s">
        <v>6</v>
      </c>
      <c r="H1" s="59" t="s">
        <v>7</v>
      </c>
      <c r="I1" s="59" t="s">
        <v>8</v>
      </c>
      <c r="J1" s="59" t="s">
        <v>9</v>
      </c>
      <c r="K1" s="59" t="s">
        <v>10</v>
      </c>
      <c r="L1" s="60" t="s">
        <v>11</v>
      </c>
      <c r="M1" s="60" t="s">
        <v>12</v>
      </c>
      <c r="N1" s="59" t="s">
        <v>13</v>
      </c>
      <c r="O1" s="59" t="s">
        <v>14</v>
      </c>
      <c r="P1" s="59" t="s">
        <v>15</v>
      </c>
      <c r="Q1" s="59" t="s">
        <v>16</v>
      </c>
      <c r="R1" s="59" t="s">
        <v>17</v>
      </c>
      <c r="S1" s="59" t="s">
        <v>18</v>
      </c>
    </row>
    <row r="2" spans="1:19" ht="39" x14ac:dyDescent="0.35">
      <c r="A2" s="84"/>
      <c r="B2" s="84"/>
      <c r="C2" s="84"/>
      <c r="D2" s="84"/>
      <c r="E2" s="84"/>
      <c r="F2" s="84"/>
      <c r="G2" s="84"/>
      <c r="H2" s="68" t="s">
        <v>23</v>
      </c>
      <c r="I2" s="84" t="s">
        <v>134</v>
      </c>
      <c r="J2" s="84" t="s">
        <v>135</v>
      </c>
      <c r="K2" s="64" t="s">
        <v>136</v>
      </c>
      <c r="L2" s="72" t="s">
        <v>27</v>
      </c>
      <c r="M2" s="2"/>
      <c r="N2" s="2" t="s">
        <v>22</v>
      </c>
      <c r="O2" s="2"/>
      <c r="P2" s="2"/>
      <c r="Q2" s="2"/>
      <c r="R2" s="2"/>
      <c r="S2" s="2"/>
    </row>
    <row r="3" spans="1:19" ht="52" x14ac:dyDescent="0.35">
      <c r="A3" s="84"/>
      <c r="B3" s="84"/>
      <c r="C3" s="84"/>
      <c r="D3" s="84"/>
      <c r="E3" s="84"/>
      <c r="F3" s="84"/>
      <c r="G3" s="84"/>
      <c r="H3" s="68" t="s">
        <v>28</v>
      </c>
      <c r="I3" s="84"/>
      <c r="J3" s="84"/>
      <c r="K3" s="64" t="s">
        <v>137</v>
      </c>
      <c r="L3" s="72" t="s">
        <v>27</v>
      </c>
      <c r="M3" s="2"/>
      <c r="N3" s="2" t="s">
        <v>22</v>
      </c>
      <c r="O3" s="2"/>
      <c r="P3" s="2"/>
      <c r="Q3" s="2"/>
      <c r="R3" s="2"/>
      <c r="S3" s="2"/>
    </row>
    <row r="4" spans="1:19" ht="143.5" x14ac:dyDescent="0.35">
      <c r="A4" s="70" t="s">
        <v>138</v>
      </c>
      <c r="B4" s="64"/>
      <c r="C4" s="64"/>
      <c r="D4" s="65"/>
      <c r="E4" s="66"/>
      <c r="F4" s="64"/>
      <c r="G4" s="67"/>
      <c r="H4" s="68" t="s">
        <v>30</v>
      </c>
      <c r="I4" s="69" t="s">
        <v>139</v>
      </c>
      <c r="J4" s="94" t="s">
        <v>140</v>
      </c>
      <c r="K4" s="93" t="s">
        <v>141</v>
      </c>
      <c r="L4" s="72" t="s">
        <v>27</v>
      </c>
      <c r="M4" s="2"/>
      <c r="N4" s="2" t="s">
        <v>22</v>
      </c>
      <c r="O4" s="2"/>
      <c r="P4" s="2"/>
      <c r="Q4" s="2"/>
      <c r="R4" s="2"/>
      <c r="S4" s="2"/>
    </row>
    <row r="5" spans="1:19" ht="26" x14ac:dyDescent="0.35">
      <c r="A5" s="2"/>
      <c r="B5" s="2"/>
      <c r="C5" s="2"/>
      <c r="D5" s="2"/>
      <c r="E5" s="2"/>
      <c r="F5" s="2"/>
      <c r="G5" s="2"/>
      <c r="H5" s="68" t="s">
        <v>32</v>
      </c>
      <c r="I5" s="2"/>
      <c r="J5" s="2"/>
      <c r="K5" s="93" t="s">
        <v>142</v>
      </c>
      <c r="L5" s="72" t="s">
        <v>27</v>
      </c>
      <c r="M5" s="2"/>
      <c r="N5" s="2" t="s">
        <v>22</v>
      </c>
      <c r="O5" s="2"/>
      <c r="P5" s="2"/>
      <c r="Q5" s="2"/>
      <c r="R5" s="2"/>
      <c r="S5" s="2"/>
    </row>
    <row r="6" spans="1:19" ht="26" x14ac:dyDescent="0.35">
      <c r="A6" s="2"/>
      <c r="B6" s="2"/>
      <c r="C6" s="2"/>
      <c r="D6" s="2"/>
      <c r="E6" s="2"/>
      <c r="F6" s="2"/>
      <c r="G6" s="2"/>
      <c r="H6" s="68" t="s">
        <v>34</v>
      </c>
      <c r="I6" s="2"/>
      <c r="J6" s="2"/>
      <c r="K6" s="93" t="s">
        <v>143</v>
      </c>
      <c r="L6" s="72" t="s">
        <v>27</v>
      </c>
      <c r="M6" s="2"/>
      <c r="N6" s="2" t="s">
        <v>22</v>
      </c>
      <c r="O6" s="2"/>
      <c r="P6" s="2"/>
      <c r="Q6" s="2"/>
      <c r="R6" s="2"/>
      <c r="S6" s="2"/>
    </row>
    <row r="7" spans="1:19" ht="26" x14ac:dyDescent="0.35">
      <c r="A7" s="2"/>
      <c r="B7" s="2"/>
      <c r="C7" s="2"/>
      <c r="D7" s="2"/>
      <c r="E7" s="2"/>
      <c r="F7" s="2"/>
      <c r="G7" s="2"/>
      <c r="H7" s="68" t="s">
        <v>36</v>
      </c>
      <c r="I7" s="2"/>
      <c r="J7" s="2"/>
      <c r="K7" s="93" t="s">
        <v>144</v>
      </c>
      <c r="L7" s="72" t="s">
        <v>27</v>
      </c>
      <c r="M7" s="2"/>
      <c r="N7" s="2" t="s">
        <v>22</v>
      </c>
      <c r="O7" s="2"/>
      <c r="P7" s="2"/>
      <c r="Q7" s="2"/>
      <c r="R7" s="2"/>
      <c r="S7" s="2"/>
    </row>
    <row r="8" spans="1:19" ht="26" x14ac:dyDescent="0.35">
      <c r="A8" s="78"/>
      <c r="B8" s="64"/>
      <c r="C8" s="64"/>
      <c r="D8" s="2"/>
      <c r="E8" s="2"/>
      <c r="F8" s="64"/>
      <c r="G8" s="67"/>
      <c r="H8" s="68" t="s">
        <v>38</v>
      </c>
      <c r="I8" s="64"/>
      <c r="J8" s="18"/>
      <c r="K8" s="93" t="s">
        <v>145</v>
      </c>
      <c r="L8" s="72" t="s">
        <v>27</v>
      </c>
      <c r="M8" s="72"/>
      <c r="N8" s="2" t="s">
        <v>22</v>
      </c>
      <c r="O8" s="64"/>
      <c r="P8" s="64"/>
      <c r="Q8" s="64"/>
      <c r="R8" s="64"/>
      <c r="S8" s="64"/>
    </row>
    <row r="9" spans="1:19" ht="26" x14ac:dyDescent="0.35">
      <c r="A9" s="2"/>
      <c r="B9" s="2"/>
      <c r="C9" s="2"/>
      <c r="D9" s="2"/>
      <c r="E9" s="2"/>
      <c r="F9" s="2"/>
      <c r="G9" s="2"/>
      <c r="H9" s="68" t="s">
        <v>40</v>
      </c>
      <c r="I9" s="2"/>
      <c r="J9" s="2"/>
      <c r="K9" s="93" t="s">
        <v>146</v>
      </c>
      <c r="L9" s="72" t="s">
        <v>27</v>
      </c>
      <c r="M9" s="2"/>
      <c r="N9" s="2" t="s">
        <v>22</v>
      </c>
      <c r="O9" s="2"/>
      <c r="P9" s="2"/>
      <c r="Q9" s="2"/>
      <c r="R9" s="2"/>
      <c r="S9" s="2"/>
    </row>
    <row r="10" spans="1:19" ht="39" x14ac:dyDescent="0.35">
      <c r="A10" s="2"/>
      <c r="B10" s="2"/>
      <c r="C10" s="2"/>
      <c r="D10" s="2"/>
      <c r="E10" s="2"/>
      <c r="F10" s="2"/>
      <c r="G10" s="2"/>
      <c r="H10" s="68" t="s">
        <v>42</v>
      </c>
      <c r="I10" s="2"/>
      <c r="J10" s="2"/>
      <c r="K10" s="93" t="s">
        <v>147</v>
      </c>
      <c r="L10" s="72" t="s">
        <v>27</v>
      </c>
      <c r="M10" s="2"/>
      <c r="N10" s="2" t="s">
        <v>22</v>
      </c>
      <c r="O10" s="2"/>
      <c r="P10" s="2"/>
      <c r="Q10" s="2"/>
      <c r="R10" s="2"/>
      <c r="S10" s="2"/>
    </row>
    <row r="11" spans="1:19" ht="26" x14ac:dyDescent="0.35">
      <c r="A11" s="2"/>
      <c r="B11" s="2"/>
      <c r="C11" s="2"/>
      <c r="D11" s="2"/>
      <c r="E11" s="2"/>
      <c r="F11" s="2"/>
      <c r="G11" s="2"/>
      <c r="H11" s="68" t="s">
        <v>148</v>
      </c>
      <c r="I11" s="2"/>
      <c r="J11" s="2"/>
      <c r="K11" s="93" t="s">
        <v>149</v>
      </c>
      <c r="L11" s="72" t="s">
        <v>27</v>
      </c>
      <c r="M11" s="2"/>
      <c r="N11" s="2" t="s">
        <v>22</v>
      </c>
      <c r="O11" s="2"/>
      <c r="P11" s="2"/>
      <c r="Q11" s="2"/>
      <c r="R11" s="2"/>
      <c r="S11" s="2"/>
    </row>
    <row r="12" spans="1:19" ht="26" x14ac:dyDescent="0.35">
      <c r="A12" s="2"/>
      <c r="B12" s="2"/>
      <c r="C12" s="2"/>
      <c r="D12" s="2"/>
      <c r="E12" s="2"/>
      <c r="F12" s="2"/>
      <c r="G12" s="2"/>
      <c r="H12" s="68" t="s">
        <v>150</v>
      </c>
      <c r="I12" s="2"/>
      <c r="J12" s="2"/>
      <c r="K12" s="93" t="s">
        <v>151</v>
      </c>
      <c r="L12" s="72" t="s">
        <v>27</v>
      </c>
      <c r="M12" s="2"/>
      <c r="N12" s="2" t="s">
        <v>22</v>
      </c>
      <c r="O12" s="2"/>
      <c r="P12" s="2"/>
      <c r="Q12" s="2"/>
      <c r="R12" s="2"/>
      <c r="S12" s="2"/>
    </row>
    <row r="13" spans="1:19" ht="26" x14ac:dyDescent="0.35">
      <c r="A13" s="2"/>
      <c r="B13" s="2"/>
      <c r="C13" s="2"/>
      <c r="D13" s="2"/>
      <c r="E13" s="2"/>
      <c r="F13" s="2"/>
      <c r="G13" s="2"/>
      <c r="H13" s="68" t="s">
        <v>44</v>
      </c>
      <c r="I13" s="2"/>
      <c r="J13" s="2"/>
      <c r="K13" s="93" t="s">
        <v>152</v>
      </c>
      <c r="L13" s="72" t="s">
        <v>27</v>
      </c>
      <c r="M13" s="2"/>
      <c r="N13" s="2" t="s">
        <v>22</v>
      </c>
      <c r="O13" s="2"/>
      <c r="P13" s="2"/>
      <c r="Q13" s="2"/>
      <c r="R13" s="2"/>
      <c r="S13" s="2"/>
    </row>
    <row r="14" spans="1:19" ht="26" x14ac:dyDescent="0.35">
      <c r="A14" s="2"/>
      <c r="B14" s="2"/>
      <c r="C14" s="2"/>
      <c r="D14" s="2"/>
      <c r="E14" s="2"/>
      <c r="F14" s="2"/>
      <c r="G14" s="2"/>
      <c r="H14" s="68" t="s">
        <v>46</v>
      </c>
      <c r="I14" s="2"/>
      <c r="J14" s="2"/>
      <c r="K14" s="93" t="s">
        <v>153</v>
      </c>
      <c r="L14" s="72" t="s">
        <v>27</v>
      </c>
      <c r="M14" s="2"/>
      <c r="N14" s="2" t="s">
        <v>22</v>
      </c>
      <c r="O14" s="2"/>
      <c r="P14" s="2"/>
      <c r="Q14" s="2"/>
      <c r="R14" s="2"/>
      <c r="S14" s="2"/>
    </row>
    <row r="15" spans="1:19" ht="26" x14ac:dyDescent="0.35">
      <c r="A15" s="2"/>
      <c r="B15" s="2"/>
      <c r="C15" s="2"/>
      <c r="D15" s="2"/>
      <c r="E15" s="2"/>
      <c r="F15" s="2"/>
      <c r="G15" s="2"/>
      <c r="H15" s="68" t="s">
        <v>48</v>
      </c>
      <c r="I15" s="2"/>
      <c r="J15" s="2"/>
      <c r="K15" s="93" t="s">
        <v>154</v>
      </c>
      <c r="L15" s="72" t="s">
        <v>27</v>
      </c>
      <c r="M15" s="2"/>
      <c r="N15" s="2" t="s">
        <v>22</v>
      </c>
      <c r="O15" s="2"/>
      <c r="P15" s="2"/>
      <c r="Q15" s="2"/>
      <c r="R15" s="2"/>
      <c r="S15" s="2"/>
    </row>
    <row r="16" spans="1:19" ht="26" x14ac:dyDescent="0.35">
      <c r="A16" s="2"/>
      <c r="B16" s="2"/>
      <c r="C16" s="2"/>
      <c r="D16" s="2"/>
      <c r="E16" s="2"/>
      <c r="F16" s="2"/>
      <c r="G16" s="2"/>
      <c r="H16" s="68" t="s">
        <v>51</v>
      </c>
      <c r="I16" s="2"/>
      <c r="J16" s="2"/>
      <c r="K16" s="56" t="s">
        <v>155</v>
      </c>
      <c r="L16" s="72" t="s">
        <v>27</v>
      </c>
      <c r="M16" s="2"/>
      <c r="N16" s="2" t="s">
        <v>22</v>
      </c>
      <c r="O16" s="2"/>
      <c r="P16" s="2"/>
      <c r="Q16" s="2"/>
      <c r="R16" s="2"/>
      <c r="S16" s="2"/>
    </row>
    <row r="17" spans="1:19" ht="26" x14ac:dyDescent="0.35">
      <c r="A17" s="2"/>
      <c r="B17" s="2"/>
      <c r="C17" s="2"/>
      <c r="D17" s="2"/>
      <c r="E17" s="2"/>
      <c r="F17" s="2"/>
      <c r="G17" s="2"/>
      <c r="H17" s="68" t="s">
        <v>53</v>
      </c>
      <c r="I17" s="2"/>
      <c r="J17" s="2"/>
      <c r="K17" s="56" t="s">
        <v>156</v>
      </c>
      <c r="L17" s="72" t="s">
        <v>27</v>
      </c>
      <c r="M17" s="2"/>
      <c r="N17" s="2" t="s">
        <v>22</v>
      </c>
      <c r="O17" s="2"/>
      <c r="P17" s="2"/>
      <c r="Q17" s="2"/>
      <c r="R17" s="2"/>
      <c r="S17" s="2"/>
    </row>
    <row r="18" spans="1:19" ht="26" x14ac:dyDescent="0.35">
      <c r="A18" s="2"/>
      <c r="B18" s="2"/>
      <c r="C18" s="2"/>
      <c r="D18" s="2"/>
      <c r="E18" s="2"/>
      <c r="F18" s="2"/>
      <c r="G18" s="2"/>
      <c r="H18" s="68" t="s">
        <v>55</v>
      </c>
      <c r="I18" s="2"/>
      <c r="J18" s="2"/>
      <c r="K18" s="93" t="s">
        <v>157</v>
      </c>
      <c r="L18" s="72" t="s">
        <v>27</v>
      </c>
      <c r="M18" s="2"/>
      <c r="N18" s="2" t="s">
        <v>22</v>
      </c>
      <c r="O18" s="2"/>
      <c r="P18" s="2"/>
      <c r="Q18" s="2"/>
      <c r="R18" s="2"/>
      <c r="S18" s="2"/>
    </row>
    <row r="19" spans="1:19" x14ac:dyDescent="0.35">
      <c r="A19" s="2"/>
      <c r="B19" s="2"/>
      <c r="C19" s="2"/>
      <c r="D19" s="2"/>
      <c r="E19" s="2"/>
      <c r="F19" s="2"/>
      <c r="G19" s="2"/>
      <c r="H19" s="68" t="s">
        <v>57</v>
      </c>
      <c r="I19" s="2"/>
      <c r="J19" s="2"/>
      <c r="K19" s="93" t="s">
        <v>158</v>
      </c>
      <c r="L19" s="72" t="s">
        <v>27</v>
      </c>
      <c r="M19" s="2"/>
      <c r="N19" s="2" t="s">
        <v>22</v>
      </c>
      <c r="O19" s="2"/>
      <c r="P19" s="2"/>
      <c r="Q19" s="2"/>
      <c r="R19" s="2"/>
      <c r="S19" s="2"/>
    </row>
    <row r="20" spans="1:19" ht="26" x14ac:dyDescent="0.35">
      <c r="A20" s="2"/>
      <c r="B20" s="2"/>
      <c r="C20" s="2"/>
      <c r="D20" s="2"/>
      <c r="E20" s="2"/>
      <c r="F20" s="2"/>
      <c r="G20" s="2"/>
      <c r="H20" s="68" t="s">
        <v>59</v>
      </c>
      <c r="I20" s="2"/>
      <c r="J20" s="2"/>
      <c r="K20" s="93" t="s">
        <v>159</v>
      </c>
      <c r="L20" s="72" t="s">
        <v>27</v>
      </c>
      <c r="M20" s="2"/>
      <c r="N20" s="2" t="s">
        <v>22</v>
      </c>
      <c r="O20" s="2"/>
      <c r="P20" s="2"/>
      <c r="Q20" s="2"/>
      <c r="R20" s="2"/>
      <c r="S20" s="2"/>
    </row>
    <row r="21" spans="1:19" ht="26" x14ac:dyDescent="0.35">
      <c r="A21" s="2"/>
      <c r="B21" s="2"/>
      <c r="C21" s="2"/>
      <c r="D21" s="2"/>
      <c r="E21" s="2"/>
      <c r="F21" s="2"/>
      <c r="G21" s="2"/>
      <c r="H21" s="68" t="s">
        <v>61</v>
      </c>
      <c r="I21" s="2"/>
      <c r="J21" s="2"/>
      <c r="K21" s="93" t="s">
        <v>160</v>
      </c>
      <c r="L21" s="72" t="s">
        <v>27</v>
      </c>
      <c r="M21" s="2"/>
      <c r="N21" s="2" t="s">
        <v>22</v>
      </c>
      <c r="O21" s="2"/>
      <c r="P21" s="2"/>
      <c r="Q21" s="2"/>
      <c r="R21" s="2"/>
      <c r="S21" s="2"/>
    </row>
    <row r="22" spans="1:19" ht="39" x14ac:dyDescent="0.35">
      <c r="A22" s="2"/>
      <c r="B22" s="2"/>
      <c r="C22" s="2"/>
      <c r="D22" s="2"/>
      <c r="E22" s="2"/>
      <c r="F22" s="2"/>
      <c r="G22" s="2"/>
      <c r="H22" s="68" t="s">
        <v>161</v>
      </c>
      <c r="I22" s="2"/>
      <c r="J22" s="2"/>
      <c r="K22" s="93" t="s">
        <v>162</v>
      </c>
      <c r="L22" s="72" t="s">
        <v>27</v>
      </c>
      <c r="M22" s="2"/>
      <c r="N22" s="2" t="s">
        <v>22</v>
      </c>
      <c r="O22" s="2"/>
      <c r="P22" s="2"/>
      <c r="Q22" s="2"/>
      <c r="R22" s="2"/>
      <c r="S22" s="2"/>
    </row>
    <row r="23" spans="1:19" ht="26" x14ac:dyDescent="0.35">
      <c r="A23" s="2"/>
      <c r="B23" s="2"/>
      <c r="C23" s="2"/>
      <c r="D23" s="2"/>
      <c r="E23" s="2"/>
      <c r="F23" s="2"/>
      <c r="G23" s="2"/>
      <c r="H23" s="68" t="s">
        <v>63</v>
      </c>
      <c r="I23" s="2"/>
      <c r="J23" s="2"/>
      <c r="K23" s="93" t="s">
        <v>163</v>
      </c>
      <c r="L23" s="72" t="s">
        <v>27</v>
      </c>
      <c r="M23" s="2"/>
      <c r="N23" s="2" t="s">
        <v>22</v>
      </c>
      <c r="O23" s="2"/>
      <c r="P23" s="2"/>
      <c r="Q23" s="2"/>
      <c r="R23" s="2"/>
      <c r="S23" s="2"/>
    </row>
    <row r="24" spans="1:19" ht="26" x14ac:dyDescent="0.35">
      <c r="A24" s="78"/>
      <c r="B24" s="64"/>
      <c r="C24" s="64"/>
      <c r="D24" s="2"/>
      <c r="E24" s="2"/>
      <c r="F24" s="64"/>
      <c r="G24" s="67"/>
      <c r="H24" s="68" t="s">
        <v>65</v>
      </c>
      <c r="I24" s="64"/>
      <c r="J24" s="18"/>
      <c r="K24" s="56" t="s">
        <v>164</v>
      </c>
      <c r="L24" s="72" t="s">
        <v>27</v>
      </c>
      <c r="M24" s="2"/>
      <c r="N24" s="2" t="s">
        <v>22</v>
      </c>
      <c r="O24" s="2"/>
      <c r="P24" s="2"/>
      <c r="Q24" s="2"/>
      <c r="R24" s="2"/>
      <c r="S24" s="2"/>
    </row>
    <row r="25" spans="1:19" ht="26" x14ac:dyDescent="0.35">
      <c r="A25" s="78"/>
      <c r="B25" s="64"/>
      <c r="C25" s="64"/>
      <c r="D25" s="2"/>
      <c r="E25" s="2"/>
      <c r="F25" s="64"/>
      <c r="G25" s="67"/>
      <c r="H25" s="68" t="s">
        <v>67</v>
      </c>
      <c r="I25" s="64"/>
      <c r="J25" s="18"/>
      <c r="K25" s="56" t="s">
        <v>165</v>
      </c>
      <c r="L25" s="72" t="s">
        <v>27</v>
      </c>
      <c r="M25" s="72"/>
      <c r="N25" s="2" t="s">
        <v>22</v>
      </c>
      <c r="O25" s="64"/>
      <c r="P25" s="64"/>
      <c r="Q25" s="64"/>
      <c r="R25" s="64"/>
      <c r="S25" s="64"/>
    </row>
    <row r="26" spans="1:19" x14ac:dyDescent="0.35">
      <c r="A26" s="78"/>
      <c r="B26" s="64"/>
      <c r="C26" s="64"/>
      <c r="D26" s="2"/>
      <c r="E26" s="2"/>
      <c r="F26" s="64"/>
      <c r="G26" s="67"/>
      <c r="H26" s="68" t="s">
        <v>69</v>
      </c>
      <c r="I26" s="64"/>
      <c r="J26" s="18"/>
      <c r="K26" s="56" t="s">
        <v>166</v>
      </c>
      <c r="L26" s="72" t="s">
        <v>27</v>
      </c>
      <c r="M26" s="72"/>
      <c r="N26" s="2" t="s">
        <v>22</v>
      </c>
      <c r="O26" s="64"/>
      <c r="P26" s="64"/>
      <c r="Q26" s="64"/>
      <c r="R26" s="64"/>
      <c r="S26" s="64"/>
    </row>
    <row r="27" spans="1:19" ht="26" x14ac:dyDescent="0.35">
      <c r="A27" s="78"/>
      <c r="B27" s="64"/>
      <c r="C27" s="64"/>
      <c r="D27" s="2"/>
      <c r="E27" s="2"/>
      <c r="F27" s="64"/>
      <c r="G27" s="67"/>
      <c r="H27" s="68" t="s">
        <v>72</v>
      </c>
      <c r="I27" s="88" t="s">
        <v>168</v>
      </c>
      <c r="J27" s="18"/>
      <c r="K27" s="56" t="s">
        <v>169</v>
      </c>
      <c r="L27" s="72" t="s">
        <v>27</v>
      </c>
      <c r="M27" s="72"/>
      <c r="N27" s="2" t="s">
        <v>22</v>
      </c>
      <c r="O27" s="64"/>
      <c r="P27" s="64"/>
      <c r="Q27" s="64"/>
      <c r="R27" s="64"/>
      <c r="S27" s="64"/>
    </row>
    <row r="28" spans="1:19" ht="26" x14ac:dyDescent="0.35">
      <c r="A28" s="78"/>
      <c r="B28" s="64"/>
      <c r="C28" s="64"/>
      <c r="D28" s="2"/>
      <c r="E28" s="2"/>
      <c r="F28" s="64"/>
      <c r="G28" s="67"/>
      <c r="H28" s="68" t="s">
        <v>74</v>
      </c>
      <c r="I28" s="64"/>
      <c r="J28" s="18"/>
      <c r="K28" s="56" t="s">
        <v>170</v>
      </c>
      <c r="L28" s="72" t="s">
        <v>27</v>
      </c>
      <c r="M28" s="72"/>
      <c r="N28" s="2" t="s">
        <v>22</v>
      </c>
      <c r="O28" s="64"/>
      <c r="P28" s="64"/>
      <c r="Q28" s="64"/>
      <c r="R28" s="64"/>
      <c r="S28" s="64"/>
    </row>
    <row r="29" spans="1:19" ht="26" x14ac:dyDescent="0.35">
      <c r="A29" s="78"/>
      <c r="B29" s="64"/>
      <c r="C29" s="64"/>
      <c r="D29" s="2"/>
      <c r="E29" s="2"/>
      <c r="F29" s="64"/>
      <c r="G29" s="67"/>
      <c r="H29" s="68" t="s">
        <v>78</v>
      </c>
      <c r="I29" s="64"/>
      <c r="J29" s="18"/>
      <c r="K29" s="56" t="s">
        <v>171</v>
      </c>
      <c r="L29" s="72" t="s">
        <v>27</v>
      </c>
      <c r="M29" s="72"/>
      <c r="N29" s="2" t="s">
        <v>22</v>
      </c>
      <c r="O29" s="64"/>
      <c r="P29" s="64"/>
      <c r="Q29" s="64"/>
      <c r="R29" s="64"/>
      <c r="S29" s="64"/>
    </row>
    <row r="30" spans="1:19" ht="26" x14ac:dyDescent="0.35">
      <c r="A30" s="78"/>
      <c r="B30" s="64"/>
      <c r="C30" s="64"/>
      <c r="D30" s="2"/>
      <c r="E30" s="2"/>
      <c r="F30" s="64"/>
      <c r="G30" s="67"/>
      <c r="H30" s="68" t="s">
        <v>79</v>
      </c>
      <c r="I30" s="64"/>
      <c r="J30" s="18"/>
      <c r="K30" s="56" t="s">
        <v>172</v>
      </c>
      <c r="L30" s="72" t="s">
        <v>27</v>
      </c>
      <c r="M30" s="72"/>
      <c r="N30" s="2" t="s">
        <v>22</v>
      </c>
      <c r="O30" s="64"/>
      <c r="P30" s="64"/>
      <c r="Q30" s="64"/>
      <c r="R30" s="64"/>
      <c r="S30" s="64"/>
    </row>
    <row r="31" spans="1:19" ht="26" x14ac:dyDescent="0.35">
      <c r="A31" s="78"/>
      <c r="B31" s="64"/>
      <c r="C31" s="64"/>
      <c r="D31" s="2"/>
      <c r="E31" s="2"/>
      <c r="F31" s="64"/>
      <c r="G31" s="67"/>
      <c r="H31" s="68" t="s">
        <v>80</v>
      </c>
      <c r="I31" s="64"/>
      <c r="J31" s="18"/>
      <c r="K31" s="56" t="s">
        <v>173</v>
      </c>
      <c r="L31" s="72" t="s">
        <v>27</v>
      </c>
      <c r="M31" s="72"/>
      <c r="N31" s="2" t="s">
        <v>77</v>
      </c>
      <c r="O31" s="64"/>
      <c r="P31" s="64"/>
      <c r="Q31" s="64"/>
      <c r="R31" s="64"/>
      <c r="S31" s="64"/>
    </row>
    <row r="32" spans="1:19" ht="26" x14ac:dyDescent="0.35">
      <c r="A32" s="78"/>
      <c r="B32" s="64"/>
      <c r="C32" s="64"/>
      <c r="D32" s="2"/>
      <c r="E32" s="2"/>
      <c r="F32" s="64"/>
      <c r="G32" s="67"/>
      <c r="H32" s="68" t="s">
        <v>81</v>
      </c>
      <c r="I32" s="64"/>
      <c r="J32" s="18"/>
      <c r="K32" s="56" t="s">
        <v>174</v>
      </c>
      <c r="L32" s="72" t="s">
        <v>27</v>
      </c>
      <c r="M32" s="72"/>
      <c r="N32" s="2" t="s">
        <v>22</v>
      </c>
      <c r="O32" s="64"/>
      <c r="P32" s="64"/>
      <c r="Q32" s="64"/>
      <c r="R32" s="64"/>
      <c r="S32" s="64"/>
    </row>
    <row r="33" spans="1:19" ht="26" x14ac:dyDescent="0.35">
      <c r="A33" s="2"/>
      <c r="B33" s="2"/>
      <c r="C33" s="2"/>
      <c r="D33" s="2"/>
      <c r="E33" s="2"/>
      <c r="F33" s="2"/>
      <c r="G33" s="2"/>
      <c r="H33" s="68" t="s">
        <v>82</v>
      </c>
      <c r="I33" s="2"/>
      <c r="J33" s="2"/>
      <c r="K33" s="56" t="s">
        <v>175</v>
      </c>
      <c r="L33" s="72" t="s">
        <v>27</v>
      </c>
      <c r="M33" s="2"/>
      <c r="N33" s="2" t="s">
        <v>22</v>
      </c>
      <c r="O33" s="2"/>
      <c r="P33" s="2"/>
      <c r="Q33" s="2"/>
      <c r="R33" s="2"/>
      <c r="S33" s="2"/>
    </row>
    <row r="34" spans="1:19" s="2" customFormat="1" x14ac:dyDescent="0.35">
      <c r="H34" s="68" t="s">
        <v>83</v>
      </c>
      <c r="J34" s="1" t="s">
        <v>176</v>
      </c>
      <c r="K34" s="53" t="s">
        <v>177</v>
      </c>
      <c r="L34" s="178" t="s">
        <v>27</v>
      </c>
      <c r="N34" s="2" t="s">
        <v>22</v>
      </c>
    </row>
    <row r="35" spans="1:19" s="2" customFormat="1" x14ac:dyDescent="0.35">
      <c r="H35" s="68" t="s">
        <v>84</v>
      </c>
      <c r="K35" s="53" t="s">
        <v>178</v>
      </c>
      <c r="L35" s="178" t="s">
        <v>27</v>
      </c>
      <c r="N35" s="2" t="s">
        <v>22</v>
      </c>
    </row>
    <row r="36" spans="1:19" s="2" customFormat="1" ht="26.5" x14ac:dyDescent="0.35">
      <c r="H36" s="68" t="s">
        <v>86</v>
      </c>
      <c r="K36" s="53" t="s">
        <v>179</v>
      </c>
      <c r="L36" s="178" t="s">
        <v>27</v>
      </c>
      <c r="N36" s="2" t="s">
        <v>22</v>
      </c>
    </row>
  </sheetData>
  <autoFilter ref="A1:S36" xr:uid="{689C1B56-DA1C-49C8-802E-4C2C0956AFEE}"/>
  <phoneticPr fontId="12" type="noConversion"/>
  <conditionalFormatting sqref="A8:C8 A24:C32">
    <cfRule type="expression" dxfId="40" priority="2" stopIfTrue="1">
      <formula>(#REF! = "Not First Step")</formula>
    </cfRule>
  </conditionalFormatting>
  <dataValidations count="2">
    <dataValidation type="list" allowBlank="1" showInputMessage="1" showErrorMessage="1" sqref="F1 F8 F24:F32" xr:uid="{E21D3F4C-ACD2-4214-8F66-8C5798BF816A}">
      <formula1>Status</formula1>
    </dataValidation>
    <dataValidation type="list" allowBlank="1" showInputMessage="1" showErrorMessage="1" sqref="N2:N36" xr:uid="{9982E566-09C7-4449-B50A-F7977584A5BD}">
      <formula1>"Pass,Fail,Deferred,Not Valid,Not Applicable,In Progress,No Run"</formula1>
    </dataValidation>
  </dataValidation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FC20B-75F5-41A7-8A86-D214A534496D}">
  <dimension ref="A1:S28"/>
  <sheetViews>
    <sheetView topLeftCell="J1" workbookViewId="0">
      <selection activeCell="K11" sqref="K11"/>
    </sheetView>
  </sheetViews>
  <sheetFormatPr defaultRowHeight="14.5" x14ac:dyDescent="0.35"/>
  <cols>
    <col min="1" max="1" width="23" customWidth="1"/>
    <col min="2" max="2" width="14.453125" customWidth="1"/>
    <col min="3" max="3" width="11.54296875" customWidth="1"/>
    <col min="4" max="4" width="9.453125" customWidth="1"/>
    <col min="5" max="5" width="13.453125" customWidth="1"/>
    <col min="6" max="6" width="10.453125" customWidth="1"/>
    <col min="7" max="7" width="14.54296875" customWidth="1"/>
    <col min="8" max="8" width="10.453125" customWidth="1"/>
    <col min="9" max="9" width="24.54296875" customWidth="1"/>
    <col min="10" max="10" width="32.453125" customWidth="1"/>
    <col min="11" max="11" width="55.54296875" customWidth="1"/>
    <col min="12" max="12" width="25.453125" bestFit="1" customWidth="1"/>
    <col min="13" max="13" width="14.453125" bestFit="1" customWidth="1"/>
    <col min="14" max="14" width="15.54296875" customWidth="1"/>
    <col min="16" max="16" width="30" customWidth="1"/>
    <col min="19" max="19" width="18.54296875" customWidth="1"/>
  </cols>
  <sheetData>
    <row r="1" spans="1:19" ht="26" x14ac:dyDescent="0.35">
      <c r="A1" s="58" t="s">
        <v>0</v>
      </c>
      <c r="B1" s="58" t="s">
        <v>1</v>
      </c>
      <c r="C1" s="58" t="s">
        <v>2</v>
      </c>
      <c r="D1" s="58" t="s">
        <v>3</v>
      </c>
      <c r="E1" s="58" t="s">
        <v>4</v>
      </c>
      <c r="F1" s="58" t="s">
        <v>5</v>
      </c>
      <c r="G1" s="58" t="s">
        <v>6</v>
      </c>
      <c r="H1" s="59" t="s">
        <v>7</v>
      </c>
      <c r="I1" s="59" t="s">
        <v>8</v>
      </c>
      <c r="J1" s="59" t="s">
        <v>9</v>
      </c>
      <c r="K1" s="59" t="s">
        <v>10</v>
      </c>
      <c r="L1" s="60" t="s">
        <v>11</v>
      </c>
      <c r="M1" s="60" t="s">
        <v>12</v>
      </c>
      <c r="N1" s="59" t="s">
        <v>13</v>
      </c>
      <c r="O1" s="61" t="s">
        <v>14</v>
      </c>
      <c r="P1" s="62" t="s">
        <v>15</v>
      </c>
      <c r="Q1" s="62" t="s">
        <v>16</v>
      </c>
      <c r="R1" s="62" t="s">
        <v>17</v>
      </c>
      <c r="S1" s="62" t="s">
        <v>18</v>
      </c>
    </row>
    <row r="2" spans="1:19" ht="26" x14ac:dyDescent="0.35">
      <c r="A2" s="86"/>
      <c r="B2" s="87"/>
      <c r="C2" s="87"/>
      <c r="D2" s="88"/>
      <c r="E2" s="88"/>
      <c r="F2" s="87"/>
      <c r="G2" s="89"/>
      <c r="H2" s="87"/>
      <c r="I2" s="74" t="s">
        <v>180</v>
      </c>
      <c r="J2" s="74"/>
      <c r="K2" s="55"/>
      <c r="L2" s="90"/>
      <c r="M2" s="91"/>
      <c r="N2" s="46"/>
      <c r="O2" s="87"/>
      <c r="P2" s="87"/>
      <c r="Q2" s="87"/>
      <c r="R2" s="87"/>
      <c r="S2" s="87"/>
    </row>
    <row r="3" spans="1:19" ht="26.5" x14ac:dyDescent="0.35">
      <c r="A3" s="78"/>
      <c r="B3" s="64"/>
      <c r="C3" s="64"/>
      <c r="D3" s="65"/>
      <c r="E3" s="66"/>
      <c r="F3" s="64"/>
      <c r="G3" s="67"/>
      <c r="H3" s="20" t="s">
        <v>181</v>
      </c>
      <c r="I3" s="64"/>
      <c r="J3" s="94" t="s">
        <v>182</v>
      </c>
      <c r="K3" s="67" t="s">
        <v>183</v>
      </c>
      <c r="L3" s="71" t="s">
        <v>27</v>
      </c>
      <c r="M3" s="72"/>
      <c r="N3" s="2" t="s">
        <v>22</v>
      </c>
      <c r="O3" s="64"/>
      <c r="P3" s="64"/>
      <c r="Q3" s="64"/>
      <c r="R3" s="64"/>
      <c r="S3" s="64"/>
    </row>
    <row r="4" spans="1:19" ht="26.5" x14ac:dyDescent="0.35">
      <c r="A4" s="78"/>
      <c r="B4" s="64"/>
      <c r="C4" s="64"/>
      <c r="D4" s="65"/>
      <c r="E4" s="66"/>
      <c r="F4" s="64"/>
      <c r="G4" s="67"/>
      <c r="H4" s="20" t="s">
        <v>184</v>
      </c>
      <c r="I4" s="64"/>
      <c r="J4" s="94"/>
      <c r="K4" s="67" t="s">
        <v>185</v>
      </c>
      <c r="L4" s="71" t="s">
        <v>27</v>
      </c>
      <c r="M4" s="72"/>
      <c r="N4" s="2" t="s">
        <v>22</v>
      </c>
      <c r="O4" s="64"/>
      <c r="P4" s="64"/>
      <c r="Q4" s="64"/>
      <c r="R4" s="64"/>
      <c r="S4" s="64"/>
    </row>
    <row r="5" spans="1:19" x14ac:dyDescent="0.35">
      <c r="A5" s="78"/>
      <c r="B5" s="64"/>
      <c r="C5" s="64"/>
      <c r="D5" s="65"/>
      <c r="E5" s="66"/>
      <c r="F5" s="64"/>
      <c r="G5" s="67"/>
      <c r="H5" s="20" t="s">
        <v>186</v>
      </c>
      <c r="I5" s="64"/>
      <c r="J5" s="93"/>
      <c r="K5" s="67" t="s">
        <v>187</v>
      </c>
      <c r="L5" s="71" t="s">
        <v>27</v>
      </c>
      <c r="M5" s="72"/>
      <c r="N5" s="2" t="s">
        <v>22</v>
      </c>
      <c r="O5" s="64"/>
      <c r="P5" s="64"/>
      <c r="Q5" s="64"/>
      <c r="R5" s="64"/>
      <c r="S5" s="64"/>
    </row>
    <row r="6" spans="1:19" x14ac:dyDescent="0.35">
      <c r="A6" s="78"/>
      <c r="B6" s="64"/>
      <c r="C6" s="64"/>
      <c r="D6" s="65"/>
      <c r="E6" s="66"/>
      <c r="F6" s="64"/>
      <c r="G6" s="67"/>
      <c r="H6" s="20" t="s">
        <v>188</v>
      </c>
      <c r="I6" s="64"/>
      <c r="J6" s="93"/>
      <c r="K6" s="67" t="s">
        <v>189</v>
      </c>
      <c r="L6" s="71" t="s">
        <v>27</v>
      </c>
      <c r="M6" s="72"/>
      <c r="N6" s="2" t="s">
        <v>22</v>
      </c>
      <c r="O6" s="64"/>
      <c r="P6" s="64"/>
      <c r="Q6" s="64"/>
      <c r="R6" s="64"/>
      <c r="S6" s="64"/>
    </row>
    <row r="7" spans="1:19" ht="26.5" x14ac:dyDescent="0.35">
      <c r="A7" s="78"/>
      <c r="B7" s="64"/>
      <c r="C7" s="64"/>
      <c r="D7" s="65"/>
      <c r="E7" s="66"/>
      <c r="F7" s="64"/>
      <c r="G7" s="67"/>
      <c r="H7" s="20" t="s">
        <v>190</v>
      </c>
      <c r="I7" s="64"/>
      <c r="J7" s="93"/>
      <c r="K7" s="67" t="s">
        <v>191</v>
      </c>
      <c r="L7" s="71" t="s">
        <v>27</v>
      </c>
      <c r="M7" s="72"/>
      <c r="N7" s="2" t="s">
        <v>22</v>
      </c>
      <c r="O7" s="64"/>
      <c r="P7" s="64"/>
      <c r="Q7" s="64"/>
      <c r="R7" s="64"/>
      <c r="S7" s="64"/>
    </row>
    <row r="8" spans="1:19" ht="39.5" x14ac:dyDescent="0.35">
      <c r="A8" s="78"/>
      <c r="B8" s="64"/>
      <c r="C8" s="64"/>
      <c r="D8" s="65"/>
      <c r="E8" s="66"/>
      <c r="F8" s="64"/>
      <c r="G8" s="67"/>
      <c r="H8" s="20" t="s">
        <v>192</v>
      </c>
      <c r="I8" s="64"/>
      <c r="J8" s="93"/>
      <c r="K8" s="67" t="s">
        <v>193</v>
      </c>
      <c r="L8" s="71" t="s">
        <v>27</v>
      </c>
      <c r="M8" s="72"/>
      <c r="N8" s="2" t="s">
        <v>22</v>
      </c>
      <c r="O8" s="64"/>
      <c r="P8" s="64"/>
      <c r="Q8" s="64"/>
      <c r="R8" s="64"/>
      <c r="S8" s="64"/>
    </row>
    <row r="9" spans="1:19" ht="26.5" x14ac:dyDescent="0.35">
      <c r="A9" s="78"/>
      <c r="B9" s="64"/>
      <c r="C9" s="64"/>
      <c r="D9" s="65"/>
      <c r="E9" s="66"/>
      <c r="F9" s="64"/>
      <c r="G9" s="67"/>
      <c r="H9" s="20" t="s">
        <v>194</v>
      </c>
      <c r="I9" s="64"/>
      <c r="J9" s="93"/>
      <c r="K9" s="67" t="s">
        <v>195</v>
      </c>
      <c r="L9" s="71" t="s">
        <v>27</v>
      </c>
      <c r="M9" s="72"/>
      <c r="N9" s="2" t="s">
        <v>22</v>
      </c>
      <c r="O9" s="64"/>
      <c r="P9" s="64"/>
      <c r="Q9" s="64"/>
      <c r="R9" s="64"/>
      <c r="S9" s="64"/>
    </row>
    <row r="10" spans="1:19" ht="26.5" x14ac:dyDescent="0.35">
      <c r="A10" s="78"/>
      <c r="B10" s="64"/>
      <c r="C10" s="64"/>
      <c r="D10" s="65"/>
      <c r="E10" s="66"/>
      <c r="F10" s="64"/>
      <c r="G10" s="67"/>
      <c r="H10" s="20" t="s">
        <v>196</v>
      </c>
      <c r="I10" s="64"/>
      <c r="J10" s="94" t="s">
        <v>197</v>
      </c>
      <c r="K10" s="67" t="s">
        <v>198</v>
      </c>
      <c r="L10" s="71" t="s">
        <v>27</v>
      </c>
      <c r="M10" s="72"/>
      <c r="N10" s="2" t="s">
        <v>22</v>
      </c>
      <c r="O10" s="64"/>
      <c r="P10" s="64"/>
      <c r="Q10" s="64"/>
      <c r="R10" s="64"/>
      <c r="S10" s="64"/>
    </row>
    <row r="11" spans="1:19" ht="26.5" x14ac:dyDescent="0.35">
      <c r="A11" s="78"/>
      <c r="B11" s="64"/>
      <c r="C11" s="64"/>
      <c r="D11" s="65"/>
      <c r="E11" s="66"/>
      <c r="F11" s="64"/>
      <c r="G11" s="67"/>
      <c r="H11" s="20" t="s">
        <v>199</v>
      </c>
      <c r="I11" s="64"/>
      <c r="J11" s="94"/>
      <c r="K11" s="117" t="s">
        <v>200</v>
      </c>
      <c r="L11" s="71" t="s">
        <v>27</v>
      </c>
      <c r="M11" s="72"/>
      <c r="N11" s="2" t="s">
        <v>22</v>
      </c>
      <c r="O11" s="64"/>
      <c r="P11" s="64"/>
      <c r="Q11" s="64"/>
      <c r="R11" s="64"/>
      <c r="S11" s="64"/>
    </row>
    <row r="12" spans="1:19" ht="26.5" x14ac:dyDescent="0.35">
      <c r="A12" s="78"/>
      <c r="B12" s="64"/>
      <c r="C12" s="64"/>
      <c r="D12" s="65"/>
      <c r="E12" s="66"/>
      <c r="F12" s="64"/>
      <c r="G12" s="67"/>
      <c r="H12" s="20" t="s">
        <v>201</v>
      </c>
      <c r="I12" s="64"/>
      <c r="J12" s="94"/>
      <c r="K12" s="67" t="s">
        <v>202</v>
      </c>
      <c r="L12" s="71" t="s">
        <v>27</v>
      </c>
      <c r="M12" s="72"/>
      <c r="N12" s="2" t="s">
        <v>22</v>
      </c>
      <c r="O12" s="64"/>
      <c r="P12" s="64"/>
      <c r="Q12" s="64"/>
      <c r="R12" s="64"/>
      <c r="S12" s="64"/>
    </row>
    <row r="13" spans="1:19" x14ac:dyDescent="0.35">
      <c r="A13" s="78"/>
      <c r="B13" s="64"/>
      <c r="C13" s="64"/>
      <c r="D13" s="65"/>
      <c r="E13" s="66"/>
      <c r="F13" s="64"/>
      <c r="G13" s="67"/>
      <c r="H13" s="20" t="s">
        <v>203</v>
      </c>
      <c r="I13" s="64"/>
      <c r="J13" s="94"/>
      <c r="K13" s="67" t="s">
        <v>204</v>
      </c>
      <c r="L13" s="71" t="s">
        <v>27</v>
      </c>
      <c r="M13" s="72"/>
      <c r="N13" s="2" t="s">
        <v>22</v>
      </c>
      <c r="O13" s="64"/>
      <c r="P13" s="64"/>
      <c r="Q13" s="64"/>
      <c r="R13" s="64"/>
      <c r="S13" s="64"/>
    </row>
    <row r="14" spans="1:19" x14ac:dyDescent="0.35">
      <c r="A14" s="78"/>
      <c r="B14" s="64"/>
      <c r="C14" s="64"/>
      <c r="D14" s="65"/>
      <c r="E14" s="66"/>
      <c r="F14" s="64"/>
      <c r="G14" s="67"/>
      <c r="H14" s="20" t="s">
        <v>205</v>
      </c>
      <c r="I14" s="64"/>
      <c r="J14" s="94"/>
      <c r="K14" s="67" t="s">
        <v>206</v>
      </c>
      <c r="L14" s="71" t="s">
        <v>27</v>
      </c>
      <c r="M14" s="72"/>
      <c r="N14" s="2" t="s">
        <v>22</v>
      </c>
      <c r="O14" s="64"/>
      <c r="P14" s="64"/>
      <c r="Q14" s="64"/>
      <c r="R14" s="64"/>
      <c r="S14" s="64"/>
    </row>
    <row r="15" spans="1:19" x14ac:dyDescent="0.35">
      <c r="A15" s="78"/>
      <c r="B15" s="64"/>
      <c r="C15" s="64"/>
      <c r="D15" s="65"/>
      <c r="E15" s="66"/>
      <c r="F15" s="64"/>
      <c r="G15" s="67"/>
      <c r="H15" s="20" t="s">
        <v>207</v>
      </c>
      <c r="I15" s="64"/>
      <c r="J15" s="94"/>
      <c r="K15" s="117" t="s">
        <v>208</v>
      </c>
      <c r="L15" s="71" t="s">
        <v>27</v>
      </c>
      <c r="M15" s="72"/>
      <c r="N15" s="2" t="s">
        <v>22</v>
      </c>
      <c r="O15" s="64"/>
      <c r="P15" s="64"/>
      <c r="Q15" s="64"/>
      <c r="R15" s="64"/>
      <c r="S15" s="64"/>
    </row>
    <row r="16" spans="1:19" ht="26.5" x14ac:dyDescent="0.35">
      <c r="A16" s="78"/>
      <c r="B16" s="64"/>
      <c r="C16" s="64"/>
      <c r="D16" s="65"/>
      <c r="E16" s="66"/>
      <c r="F16" s="64"/>
      <c r="G16" s="67"/>
      <c r="H16" s="20" t="s">
        <v>209</v>
      </c>
      <c r="I16" s="64"/>
      <c r="J16" s="94" t="s">
        <v>210</v>
      </c>
      <c r="K16" s="67" t="s">
        <v>211</v>
      </c>
      <c r="L16" s="71" t="s">
        <v>27</v>
      </c>
      <c r="M16" s="72"/>
      <c r="N16" s="2" t="s">
        <v>22</v>
      </c>
      <c r="O16" s="64"/>
      <c r="P16" s="64"/>
      <c r="Q16" s="64"/>
      <c r="R16" s="64"/>
      <c r="S16" s="64"/>
    </row>
    <row r="17" spans="1:19" ht="26.5" x14ac:dyDescent="0.35">
      <c r="A17" s="78"/>
      <c r="B17" s="64"/>
      <c r="C17" s="64"/>
      <c r="D17" s="65"/>
      <c r="E17" s="66"/>
      <c r="F17" s="64"/>
      <c r="G17" s="67"/>
      <c r="H17" s="20" t="s">
        <v>212</v>
      </c>
      <c r="I17" s="64"/>
      <c r="J17" s="94" t="s">
        <v>213</v>
      </c>
      <c r="K17" s="67" t="s">
        <v>214</v>
      </c>
      <c r="L17" s="71" t="s">
        <v>27</v>
      </c>
      <c r="M17" s="72"/>
      <c r="N17" s="2" t="s">
        <v>22</v>
      </c>
      <c r="O17" s="64"/>
      <c r="P17" s="64"/>
      <c r="Q17" s="64"/>
      <c r="R17" s="64"/>
      <c r="S17" s="64"/>
    </row>
    <row r="18" spans="1:19" ht="26.5" x14ac:dyDescent="0.35">
      <c r="A18" s="78"/>
      <c r="B18" s="64"/>
      <c r="C18" s="64"/>
      <c r="D18" s="65"/>
      <c r="E18" s="66"/>
      <c r="F18" s="64"/>
      <c r="G18" s="67"/>
      <c r="H18" s="20" t="s">
        <v>215</v>
      </c>
      <c r="I18" s="64"/>
      <c r="J18" s="70" t="s">
        <v>216</v>
      </c>
      <c r="K18" s="117" t="s">
        <v>217</v>
      </c>
      <c r="L18" s="71" t="s">
        <v>27</v>
      </c>
      <c r="M18" s="72"/>
      <c r="N18" s="2" t="s">
        <v>22</v>
      </c>
      <c r="O18" s="64"/>
      <c r="P18" s="64"/>
      <c r="Q18" s="64"/>
      <c r="R18" s="64"/>
      <c r="S18" s="64"/>
    </row>
    <row r="19" spans="1:19" x14ac:dyDescent="0.35">
      <c r="A19" s="78"/>
      <c r="B19" s="64"/>
      <c r="C19" s="64"/>
      <c r="D19" s="65"/>
      <c r="E19" s="66"/>
      <c r="F19" s="64"/>
      <c r="G19" s="67"/>
      <c r="H19" s="20" t="s">
        <v>218</v>
      </c>
      <c r="I19" s="64"/>
      <c r="J19" s="76"/>
      <c r="K19" s="67" t="s">
        <v>219</v>
      </c>
      <c r="L19" s="71" t="s">
        <v>27</v>
      </c>
      <c r="M19" s="72"/>
      <c r="N19" s="2" t="s">
        <v>22</v>
      </c>
      <c r="O19" s="64"/>
      <c r="P19" s="64"/>
      <c r="Q19" s="64"/>
      <c r="R19" s="64"/>
      <c r="S19" s="64"/>
    </row>
    <row r="20" spans="1:19" x14ac:dyDescent="0.35">
      <c r="A20" s="78"/>
      <c r="B20" s="64"/>
      <c r="C20" s="64"/>
      <c r="D20" s="65"/>
      <c r="E20" s="66"/>
      <c r="F20" s="64"/>
      <c r="G20" s="67"/>
      <c r="H20" s="20" t="s">
        <v>220</v>
      </c>
      <c r="I20" s="64"/>
      <c r="J20" s="76"/>
      <c r="K20" s="67" t="s">
        <v>221</v>
      </c>
      <c r="L20" s="71" t="s">
        <v>27</v>
      </c>
      <c r="M20" s="72"/>
      <c r="N20" s="2" t="s">
        <v>22</v>
      </c>
      <c r="O20" s="64"/>
      <c r="P20" s="64"/>
      <c r="Q20" s="64"/>
      <c r="R20" s="64"/>
      <c r="S20" s="64"/>
    </row>
    <row r="21" spans="1:19" ht="26.5" x14ac:dyDescent="0.35">
      <c r="A21" s="78"/>
      <c r="B21" s="64"/>
      <c r="C21" s="64"/>
      <c r="D21" s="65"/>
      <c r="E21" s="66"/>
      <c r="F21" s="64"/>
      <c r="G21" s="67"/>
      <c r="H21" s="20" t="s">
        <v>222</v>
      </c>
      <c r="I21" s="64"/>
      <c r="J21" s="76"/>
      <c r="K21" s="67" t="s">
        <v>223</v>
      </c>
      <c r="L21" s="71" t="s">
        <v>27</v>
      </c>
      <c r="M21" s="72"/>
      <c r="N21" s="2" t="s">
        <v>22</v>
      </c>
      <c r="O21" s="64"/>
      <c r="P21" s="64"/>
      <c r="Q21" s="64"/>
      <c r="R21" s="64"/>
      <c r="S21" s="64"/>
    </row>
    <row r="22" spans="1:19" ht="26.5" x14ac:dyDescent="0.35">
      <c r="A22" s="78"/>
      <c r="B22" s="64"/>
      <c r="C22" s="64"/>
      <c r="D22" s="65"/>
      <c r="E22" s="66"/>
      <c r="F22" s="64"/>
      <c r="G22" s="67"/>
      <c r="H22" s="20" t="s">
        <v>224</v>
      </c>
      <c r="I22" s="64"/>
      <c r="J22" s="76"/>
      <c r="K22" s="67" t="s">
        <v>225</v>
      </c>
      <c r="L22" s="71" t="s">
        <v>27</v>
      </c>
      <c r="M22" s="72"/>
      <c r="N22" s="2" t="s">
        <v>22</v>
      </c>
      <c r="O22" s="64"/>
      <c r="P22" s="64"/>
      <c r="Q22" s="64"/>
      <c r="R22" s="64"/>
      <c r="S22" s="64"/>
    </row>
    <row r="23" spans="1:19" ht="26.5" x14ac:dyDescent="0.35">
      <c r="A23" s="78"/>
      <c r="B23" s="64"/>
      <c r="C23" s="64"/>
      <c r="D23" s="65"/>
      <c r="E23" s="66"/>
      <c r="F23" s="64"/>
      <c r="G23" s="67"/>
      <c r="H23" s="20" t="s">
        <v>226</v>
      </c>
      <c r="I23" s="64"/>
      <c r="J23" s="70" t="s">
        <v>227</v>
      </c>
      <c r="K23" s="67" t="s">
        <v>228</v>
      </c>
      <c r="L23" s="71" t="s">
        <v>27</v>
      </c>
      <c r="M23" s="72"/>
      <c r="N23" s="2" t="s">
        <v>22</v>
      </c>
      <c r="O23" s="64"/>
      <c r="P23" s="64"/>
      <c r="Q23" s="64"/>
      <c r="R23" s="64"/>
      <c r="S23" s="64"/>
    </row>
    <row r="24" spans="1:19" ht="26.5" x14ac:dyDescent="0.35">
      <c r="A24" s="191"/>
      <c r="B24" s="192"/>
      <c r="C24" s="192"/>
      <c r="D24" s="193"/>
      <c r="E24" s="194"/>
      <c r="F24" s="192"/>
      <c r="G24" s="195"/>
      <c r="H24" s="20" t="s">
        <v>229</v>
      </c>
      <c r="I24" s="192"/>
      <c r="J24" s="196"/>
      <c r="K24" s="195" t="s">
        <v>230</v>
      </c>
      <c r="L24" s="197" t="s">
        <v>27</v>
      </c>
      <c r="M24" s="198"/>
      <c r="N24" s="199" t="s">
        <v>22</v>
      </c>
      <c r="O24" s="192"/>
      <c r="P24" s="192"/>
      <c r="Q24" s="192"/>
      <c r="R24" s="192"/>
      <c r="S24" s="192"/>
    </row>
    <row r="25" spans="1:19" s="2" customFormat="1" x14ac:dyDescent="0.35">
      <c r="H25" s="20" t="s">
        <v>231</v>
      </c>
      <c r="J25" s="2" t="s">
        <v>176</v>
      </c>
      <c r="K25" s="53" t="s">
        <v>177</v>
      </c>
      <c r="L25" s="178" t="s">
        <v>27</v>
      </c>
      <c r="N25" s="2" t="s">
        <v>22</v>
      </c>
    </row>
    <row r="26" spans="1:19" s="2" customFormat="1" x14ac:dyDescent="0.35">
      <c r="H26" s="20" t="s">
        <v>232</v>
      </c>
      <c r="K26" s="53" t="s">
        <v>178</v>
      </c>
      <c r="L26" s="178" t="s">
        <v>27</v>
      </c>
      <c r="N26" s="2" t="s">
        <v>22</v>
      </c>
    </row>
    <row r="27" spans="1:19" s="2" customFormat="1" x14ac:dyDescent="0.35">
      <c r="H27" s="20" t="s">
        <v>233</v>
      </c>
      <c r="K27" s="53" t="s">
        <v>179</v>
      </c>
      <c r="L27" s="178" t="s">
        <v>27</v>
      </c>
      <c r="N27" s="2" t="s">
        <v>22</v>
      </c>
    </row>
    <row r="28" spans="1:19" x14ac:dyDescent="0.35">
      <c r="K28" s="117"/>
      <c r="L28" s="57"/>
    </row>
  </sheetData>
  <conditionalFormatting sqref="A2:C24">
    <cfRule type="expression" dxfId="39" priority="1" stopIfTrue="1">
      <formula>(#REF! = "Not First Step")</formula>
    </cfRule>
  </conditionalFormatting>
  <dataValidations count="2">
    <dataValidation type="list" allowBlank="1" showInputMessage="1" showErrorMessage="1" sqref="F1:F24" xr:uid="{AB5F7F8E-8C85-4CA3-8446-EC2C322E8376}">
      <formula1>Status</formula1>
    </dataValidation>
    <dataValidation type="list" allowBlank="1" showInputMessage="1" showErrorMessage="1" sqref="N2:N27" xr:uid="{77E5B356-E559-4322-A37F-C82B8828AD96}">
      <formula1>"Pass,Fail,Deferred,Not Valid,Not Applicable,In Progress,No Run"</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DEEDE-EC89-496E-B0D4-3265D558C8A0}">
  <dimension ref="A1:S12"/>
  <sheetViews>
    <sheetView topLeftCell="I1" workbookViewId="0">
      <selection activeCell="S1" sqref="S1"/>
    </sheetView>
  </sheetViews>
  <sheetFormatPr defaultRowHeight="14.5" x14ac:dyDescent="0.35"/>
  <cols>
    <col min="1" max="1" width="18.453125" customWidth="1"/>
    <col min="2" max="2" width="14.453125" customWidth="1"/>
    <col min="3" max="3" width="11.54296875" customWidth="1"/>
    <col min="4" max="4" width="9.453125" customWidth="1"/>
    <col min="5" max="5" width="13.453125" customWidth="1"/>
    <col min="6" max="6" width="10.453125" customWidth="1"/>
    <col min="7" max="7" width="14.54296875" customWidth="1"/>
    <col min="8" max="8" width="10.453125" customWidth="1"/>
    <col min="9" max="10" width="24.54296875" customWidth="1"/>
    <col min="11" max="11" width="41.54296875" customWidth="1"/>
    <col min="12" max="12" width="26.54296875" customWidth="1"/>
    <col min="13" max="13" width="11.453125" customWidth="1"/>
    <col min="14" max="14" width="15.54296875" customWidth="1"/>
    <col min="19" max="19" width="18.54296875" customWidth="1"/>
  </cols>
  <sheetData>
    <row r="1" spans="1:19" ht="39" x14ac:dyDescent="0.35">
      <c r="A1" s="96" t="s">
        <v>0</v>
      </c>
      <c r="B1" s="58" t="s">
        <v>1</v>
      </c>
      <c r="C1" s="58" t="s">
        <v>2</v>
      </c>
      <c r="D1" s="58" t="s">
        <v>3</v>
      </c>
      <c r="E1" s="58" t="s">
        <v>4</v>
      </c>
      <c r="F1" s="58" t="s">
        <v>5</v>
      </c>
      <c r="G1" s="58" t="s">
        <v>6</v>
      </c>
      <c r="H1" s="59" t="s">
        <v>7</v>
      </c>
      <c r="I1" s="59" t="s">
        <v>8</v>
      </c>
      <c r="J1" s="59" t="s">
        <v>9</v>
      </c>
      <c r="K1" s="84" t="s">
        <v>10</v>
      </c>
      <c r="L1" s="60" t="s">
        <v>11</v>
      </c>
      <c r="M1" s="60" t="s">
        <v>12</v>
      </c>
      <c r="N1" s="59" t="s">
        <v>13</v>
      </c>
      <c r="O1" s="59" t="s">
        <v>14</v>
      </c>
      <c r="P1" s="59" t="s">
        <v>15</v>
      </c>
      <c r="Q1" s="59" t="s">
        <v>16</v>
      </c>
      <c r="R1" s="59" t="s">
        <v>17</v>
      </c>
      <c r="S1" s="59" t="s">
        <v>18</v>
      </c>
    </row>
    <row r="2" spans="1:19" ht="39.5" x14ac:dyDescent="0.35">
      <c r="A2" s="97" t="s">
        <v>234</v>
      </c>
      <c r="B2" s="84"/>
      <c r="C2" s="84"/>
      <c r="D2" s="65"/>
      <c r="E2" s="66"/>
      <c r="F2" s="2"/>
      <c r="G2" s="67"/>
      <c r="H2" s="68" t="s">
        <v>23</v>
      </c>
      <c r="I2" s="64"/>
      <c r="J2" s="83" t="s">
        <v>235</v>
      </c>
      <c r="K2" s="64" t="s">
        <v>236</v>
      </c>
      <c r="L2" s="26" t="s">
        <v>27</v>
      </c>
      <c r="M2" s="98"/>
      <c r="N2" s="99" t="s">
        <v>22</v>
      </c>
      <c r="O2" s="84"/>
      <c r="P2" s="84"/>
      <c r="Q2" s="84"/>
      <c r="R2" s="84"/>
      <c r="S2" s="84"/>
    </row>
    <row r="3" spans="1:19" x14ac:dyDescent="0.35">
      <c r="A3" s="97"/>
      <c r="B3" s="84"/>
      <c r="C3" s="84"/>
      <c r="D3" s="65"/>
      <c r="E3" s="66"/>
      <c r="F3" s="2"/>
      <c r="G3" s="67"/>
      <c r="H3" s="68" t="s">
        <v>28</v>
      </c>
      <c r="I3" s="64"/>
      <c r="J3" s="83"/>
      <c r="K3" s="3" t="s">
        <v>237</v>
      </c>
      <c r="L3" s="26" t="s">
        <v>27</v>
      </c>
      <c r="M3" s="98"/>
      <c r="N3" s="99" t="s">
        <v>22</v>
      </c>
      <c r="O3" s="84"/>
      <c r="P3" s="84"/>
      <c r="Q3" s="84"/>
      <c r="R3" s="84"/>
      <c r="S3" s="84"/>
    </row>
    <row r="4" spans="1:19" x14ac:dyDescent="0.35">
      <c r="A4" s="97"/>
      <c r="B4" s="84"/>
      <c r="C4" s="84"/>
      <c r="D4" s="65"/>
      <c r="E4" s="66"/>
      <c r="F4" s="2"/>
      <c r="G4" s="67"/>
      <c r="H4" s="68" t="s">
        <v>30</v>
      </c>
      <c r="I4" s="64"/>
      <c r="J4" s="83"/>
      <c r="K4" s="64" t="s">
        <v>238</v>
      </c>
      <c r="L4" s="26" t="s">
        <v>27</v>
      </c>
      <c r="M4" s="98"/>
      <c r="N4" s="99" t="s">
        <v>22</v>
      </c>
      <c r="O4" s="84"/>
      <c r="P4" s="84"/>
      <c r="Q4" s="84"/>
      <c r="R4" s="84"/>
      <c r="S4" s="84"/>
    </row>
    <row r="5" spans="1:19" ht="15.5" x14ac:dyDescent="0.35">
      <c r="A5" s="2"/>
      <c r="B5" s="2"/>
      <c r="C5" s="2"/>
      <c r="D5" s="65"/>
      <c r="E5" s="66"/>
      <c r="F5" s="2"/>
      <c r="G5" s="67"/>
      <c r="H5" s="68" t="s">
        <v>34</v>
      </c>
      <c r="I5" s="3"/>
      <c r="J5" s="95"/>
      <c r="K5" s="64" t="s">
        <v>239</v>
      </c>
      <c r="L5" s="26" t="s">
        <v>27</v>
      </c>
      <c r="M5" s="98"/>
      <c r="N5" s="99" t="s">
        <v>22</v>
      </c>
      <c r="O5" s="2"/>
      <c r="P5" s="2"/>
      <c r="Q5" s="2"/>
      <c r="R5" s="2"/>
      <c r="S5" s="2"/>
    </row>
    <row r="6" spans="1:19" ht="26" x14ac:dyDescent="0.35">
      <c r="A6" s="2"/>
      <c r="B6" s="2"/>
      <c r="C6" s="2"/>
      <c r="D6" s="65"/>
      <c r="E6" s="66"/>
      <c r="F6" s="2"/>
      <c r="G6" s="67"/>
      <c r="H6" s="68" t="s">
        <v>36</v>
      </c>
      <c r="I6" s="3"/>
      <c r="J6" s="95"/>
      <c r="K6" s="64" t="s">
        <v>240</v>
      </c>
      <c r="L6" s="26" t="s">
        <v>27</v>
      </c>
      <c r="M6" s="98"/>
      <c r="N6" s="99" t="s">
        <v>22</v>
      </c>
      <c r="O6" s="2"/>
      <c r="P6" s="2"/>
      <c r="Q6" s="2"/>
      <c r="R6" s="2"/>
      <c r="S6" s="2"/>
    </row>
    <row r="7" spans="1:19" ht="15.5" x14ac:dyDescent="0.35">
      <c r="A7" s="2"/>
      <c r="B7" s="2"/>
      <c r="C7" s="2"/>
      <c r="D7" s="65"/>
      <c r="E7" s="66"/>
      <c r="F7" s="2"/>
      <c r="G7" s="67"/>
      <c r="H7" s="68" t="s">
        <v>38</v>
      </c>
      <c r="I7" s="3"/>
      <c r="J7" s="95"/>
      <c r="K7" s="64" t="s">
        <v>241</v>
      </c>
      <c r="L7" s="26" t="s">
        <v>27</v>
      </c>
      <c r="M7" s="98"/>
      <c r="N7" s="99" t="s">
        <v>22</v>
      </c>
      <c r="O7" s="2"/>
      <c r="P7" s="2"/>
      <c r="Q7" s="2"/>
      <c r="R7" s="2"/>
      <c r="S7" s="2"/>
    </row>
    <row r="8" spans="1:19" ht="39.5" x14ac:dyDescent="0.35">
      <c r="A8" s="97" t="s">
        <v>242</v>
      </c>
      <c r="B8" s="2"/>
      <c r="C8" s="2"/>
      <c r="D8" s="65"/>
      <c r="E8" s="66"/>
      <c r="F8" s="2"/>
      <c r="G8" s="67"/>
      <c r="H8" s="68" t="s">
        <v>40</v>
      </c>
      <c r="I8" s="3"/>
      <c r="J8" s="83" t="s">
        <v>243</v>
      </c>
      <c r="K8" s="3" t="s">
        <v>244</v>
      </c>
      <c r="L8" s="26" t="s">
        <v>27</v>
      </c>
      <c r="M8" s="98"/>
      <c r="N8" s="99" t="s">
        <v>22</v>
      </c>
      <c r="O8" s="2"/>
      <c r="P8" s="2"/>
      <c r="Q8" s="2"/>
      <c r="R8" s="2"/>
      <c r="S8" s="2"/>
    </row>
    <row r="9" spans="1:19" ht="26" x14ac:dyDescent="0.35">
      <c r="A9" s="97"/>
      <c r="B9" s="2"/>
      <c r="C9" s="2"/>
      <c r="D9" s="65"/>
      <c r="E9" s="66"/>
      <c r="F9" s="2"/>
      <c r="G9" s="67"/>
      <c r="H9" s="68" t="s">
        <v>42</v>
      </c>
      <c r="I9" s="3"/>
      <c r="J9" s="83"/>
      <c r="K9" s="64" t="s">
        <v>245</v>
      </c>
      <c r="L9" s="26" t="s">
        <v>27</v>
      </c>
      <c r="M9" s="98"/>
      <c r="N9" s="99" t="s">
        <v>22</v>
      </c>
      <c r="O9" s="2"/>
      <c r="P9" s="2"/>
      <c r="Q9" s="2"/>
      <c r="R9" s="2"/>
      <c r="S9" s="2"/>
    </row>
    <row r="10" spans="1:19" ht="29" x14ac:dyDescent="0.35">
      <c r="A10" s="97"/>
      <c r="B10" s="2"/>
      <c r="C10" s="2"/>
      <c r="D10" s="65"/>
      <c r="E10" s="66"/>
      <c r="F10" s="2"/>
      <c r="G10" s="67"/>
      <c r="H10" s="68" t="s">
        <v>148</v>
      </c>
      <c r="I10" s="3"/>
      <c r="J10" s="83"/>
      <c r="K10" s="3" t="s">
        <v>246</v>
      </c>
      <c r="L10" s="26" t="s">
        <v>27</v>
      </c>
      <c r="M10" s="98"/>
      <c r="N10" s="99" t="s">
        <v>22</v>
      </c>
      <c r="O10" s="2"/>
      <c r="P10" s="2"/>
      <c r="Q10" s="2"/>
      <c r="R10" s="2"/>
      <c r="S10" s="2"/>
    </row>
    <row r="11" spans="1:19" ht="116" x14ac:dyDescent="0.35">
      <c r="A11" s="97"/>
      <c r="B11" s="2"/>
      <c r="C11" s="2"/>
      <c r="D11" s="65"/>
      <c r="E11" s="66"/>
      <c r="F11" s="2"/>
      <c r="G11" s="67"/>
      <c r="H11" s="68" t="s">
        <v>150</v>
      </c>
      <c r="I11" s="3"/>
      <c r="J11" s="83"/>
      <c r="K11" s="106" t="s">
        <v>247</v>
      </c>
      <c r="L11" s="26" t="s">
        <v>27</v>
      </c>
      <c r="M11" s="98"/>
      <c r="N11" s="99" t="s">
        <v>22</v>
      </c>
      <c r="O11" s="2"/>
      <c r="P11" s="2"/>
      <c r="Q11" s="2"/>
      <c r="R11" s="2"/>
      <c r="S11" s="2"/>
    </row>
    <row r="12" spans="1:19" ht="29" x14ac:dyDescent="0.35">
      <c r="A12" s="97"/>
      <c r="B12" s="2"/>
      <c r="C12" s="2"/>
      <c r="D12" s="65"/>
      <c r="E12" s="66"/>
      <c r="F12" s="2"/>
      <c r="G12" s="67"/>
      <c r="H12" s="68" t="s">
        <v>44</v>
      </c>
      <c r="I12" s="3"/>
      <c r="J12" s="83"/>
      <c r="K12" s="3" t="s">
        <v>248</v>
      </c>
      <c r="L12" s="26" t="s">
        <v>27</v>
      </c>
      <c r="M12" s="98"/>
      <c r="N12" s="99" t="s">
        <v>22</v>
      </c>
      <c r="O12" s="2"/>
      <c r="P12" s="2"/>
      <c r="Q12" s="2"/>
      <c r="R12" s="2"/>
      <c r="S12" s="2"/>
    </row>
  </sheetData>
  <phoneticPr fontId="12" type="noConversion"/>
  <conditionalFormatting sqref="F2:F7 B2:C12">
    <cfRule type="expression" dxfId="38" priority="1" stopIfTrue="1">
      <formula>(#REF! = "Not First Step")</formula>
    </cfRule>
  </conditionalFormatting>
  <dataValidations count="2">
    <dataValidation type="list" allowBlank="1" showInputMessage="1" showErrorMessage="1" sqref="F1" xr:uid="{93AEF95B-8370-4CA3-866E-3BD35E5497DD}">
      <formula1>Status</formula1>
    </dataValidation>
    <dataValidation type="list" allowBlank="1" showInputMessage="1" showErrorMessage="1" sqref="N2:N12" xr:uid="{248CA4A1-F216-41CD-B143-1F5B68D3DE82}">
      <formula1>"Pass,Fail,Deferred,Not Valid,Not Applicable,In Progress,No Run"</formula1>
    </dataValidation>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27653-22CD-425A-907F-123DB206F647}">
  <dimension ref="A1:T44"/>
  <sheetViews>
    <sheetView topLeftCell="H1" zoomScale="110" zoomScaleNormal="110" workbookViewId="0">
      <selection activeCell="K8" sqref="K8"/>
    </sheetView>
  </sheetViews>
  <sheetFormatPr defaultRowHeight="14.5" x14ac:dyDescent="0.35"/>
  <cols>
    <col min="1" max="1" width="24.453125" customWidth="1"/>
    <col min="2" max="2" width="19" customWidth="1"/>
    <col min="3" max="3" width="8.453125" bestFit="1" customWidth="1"/>
    <col min="4" max="4" width="9.453125" customWidth="1"/>
    <col min="5" max="5" width="16.453125" customWidth="1"/>
    <col min="7" max="7" width="13.453125" customWidth="1"/>
    <col min="9" max="9" width="20.453125" customWidth="1"/>
    <col min="10" max="10" width="30.54296875" customWidth="1"/>
    <col min="11" max="11" width="54.54296875" customWidth="1"/>
    <col min="12" max="12" width="18.54296875" customWidth="1"/>
    <col min="14" max="14" width="14.54296875" customWidth="1"/>
    <col min="15" max="15" width="25.54296875" bestFit="1" customWidth="1"/>
    <col min="16" max="16" width="11.54296875" bestFit="1" customWidth="1"/>
    <col min="17" max="17" width="13.453125" bestFit="1" customWidth="1"/>
    <col min="19" max="19" width="29.54296875" bestFit="1" customWidth="1"/>
  </cols>
  <sheetData>
    <row r="1" spans="1:20" ht="39" x14ac:dyDescent="0.35">
      <c r="A1" s="58" t="s">
        <v>0</v>
      </c>
      <c r="B1" s="58" t="s">
        <v>1</v>
      </c>
      <c r="C1" s="58" t="s">
        <v>2</v>
      </c>
      <c r="D1" s="58" t="s">
        <v>3</v>
      </c>
      <c r="E1" s="58" t="s">
        <v>4</v>
      </c>
      <c r="F1" s="58" t="s">
        <v>5</v>
      </c>
      <c r="G1" s="58" t="s">
        <v>6</v>
      </c>
      <c r="H1" s="59" t="s">
        <v>7</v>
      </c>
      <c r="I1" s="59" t="s">
        <v>8</v>
      </c>
      <c r="J1" s="59" t="s">
        <v>9</v>
      </c>
      <c r="K1" s="84" t="s">
        <v>10</v>
      </c>
      <c r="L1" s="60" t="s">
        <v>11</v>
      </c>
      <c r="M1" s="60" t="s">
        <v>12</v>
      </c>
      <c r="N1" s="59" t="s">
        <v>13</v>
      </c>
      <c r="O1" s="59" t="s">
        <v>14</v>
      </c>
      <c r="P1" s="59" t="s">
        <v>15</v>
      </c>
      <c r="Q1" s="59" t="s">
        <v>16</v>
      </c>
      <c r="R1" s="59" t="s">
        <v>17</v>
      </c>
      <c r="S1" s="59" t="s">
        <v>18</v>
      </c>
      <c r="T1" s="2"/>
    </row>
    <row r="2" spans="1:20" ht="78.5" x14ac:dyDescent="0.35">
      <c r="A2" s="63" t="s">
        <v>249</v>
      </c>
      <c r="B2" s="64"/>
      <c r="C2" s="64"/>
      <c r="D2" s="84"/>
      <c r="E2" s="66"/>
      <c r="F2" s="64" t="s">
        <v>250</v>
      </c>
      <c r="G2" s="67"/>
      <c r="H2" s="68"/>
      <c r="I2" s="69" t="s">
        <v>251</v>
      </c>
      <c r="J2" s="70" t="s">
        <v>252</v>
      </c>
      <c r="K2" s="3"/>
      <c r="L2" s="72"/>
      <c r="M2" s="72"/>
      <c r="N2" s="100" t="s">
        <v>22</v>
      </c>
      <c r="O2" s="64"/>
      <c r="P2" s="101"/>
      <c r="Q2" s="73"/>
      <c r="R2" s="64"/>
      <c r="S2" s="64"/>
    </row>
    <row r="3" spans="1:20" x14ac:dyDescent="0.35">
      <c r="A3" s="63"/>
      <c r="B3" s="64"/>
      <c r="C3" s="64"/>
      <c r="D3" s="84"/>
      <c r="E3" s="66"/>
      <c r="F3" s="64" t="s">
        <v>250</v>
      </c>
      <c r="G3" s="67"/>
      <c r="H3" s="68" t="s">
        <v>23</v>
      </c>
      <c r="I3" s="2"/>
      <c r="J3" s="81" t="s">
        <v>49</v>
      </c>
      <c r="K3" s="2" t="s">
        <v>253</v>
      </c>
      <c r="L3" s="72" t="s">
        <v>27</v>
      </c>
      <c r="M3" s="72"/>
      <c r="N3" s="100" t="s">
        <v>22</v>
      </c>
      <c r="O3" s="64"/>
      <c r="P3" s="101"/>
      <c r="Q3" s="73"/>
      <c r="R3" s="64"/>
      <c r="S3" s="64"/>
    </row>
    <row r="4" spans="1:20" x14ac:dyDescent="0.35">
      <c r="A4" s="63"/>
      <c r="B4" s="64"/>
      <c r="C4" s="64"/>
      <c r="D4" s="84"/>
      <c r="E4" s="66"/>
      <c r="F4" s="64" t="s">
        <v>250</v>
      </c>
      <c r="G4" s="67"/>
      <c r="H4" s="68" t="s">
        <v>28</v>
      </c>
      <c r="I4" s="2"/>
      <c r="J4" s="70"/>
      <c r="K4" s="2" t="s">
        <v>254</v>
      </c>
      <c r="L4" s="72" t="s">
        <v>27</v>
      </c>
      <c r="M4" s="72"/>
      <c r="N4" s="100" t="s">
        <v>22</v>
      </c>
      <c r="O4" s="64"/>
      <c r="P4" s="101"/>
      <c r="Q4" s="73"/>
      <c r="R4" s="64"/>
      <c r="S4" s="64"/>
    </row>
    <row r="5" spans="1:20" x14ac:dyDescent="0.35">
      <c r="A5" s="63"/>
      <c r="B5" s="64"/>
      <c r="C5" s="64"/>
      <c r="D5" s="84"/>
      <c r="E5" s="66"/>
      <c r="F5" s="64" t="s">
        <v>250</v>
      </c>
      <c r="G5" s="67"/>
      <c r="H5" s="68" t="s">
        <v>30</v>
      </c>
      <c r="I5" s="2"/>
      <c r="J5" s="70"/>
      <c r="K5" s="2" t="s">
        <v>255</v>
      </c>
      <c r="L5" s="72" t="s">
        <v>27</v>
      </c>
      <c r="M5" s="72"/>
      <c r="N5" s="100" t="s">
        <v>22</v>
      </c>
      <c r="O5" s="64"/>
      <c r="P5" s="101"/>
      <c r="Q5" s="73"/>
      <c r="R5" s="64"/>
      <c r="S5" s="64"/>
    </row>
    <row r="6" spans="1:20" ht="29" x14ac:dyDescent="0.35">
      <c r="A6" s="63"/>
      <c r="B6" s="64"/>
      <c r="C6" s="64"/>
      <c r="D6" s="84"/>
      <c r="E6" s="66"/>
      <c r="F6" s="64" t="s">
        <v>250</v>
      </c>
      <c r="G6" s="67"/>
      <c r="H6" s="68" t="s">
        <v>32</v>
      </c>
      <c r="I6" s="2"/>
      <c r="J6" s="70"/>
      <c r="K6" s="3" t="s">
        <v>256</v>
      </c>
      <c r="L6" s="72" t="s">
        <v>27</v>
      </c>
      <c r="M6" s="72"/>
      <c r="N6" s="100" t="s">
        <v>22</v>
      </c>
      <c r="O6" s="64"/>
      <c r="P6" s="101"/>
      <c r="Q6" s="73"/>
      <c r="R6" s="64"/>
      <c r="S6" s="64"/>
    </row>
    <row r="7" spans="1:20" x14ac:dyDescent="0.35">
      <c r="A7" s="2"/>
      <c r="B7" s="2"/>
      <c r="C7" s="2"/>
      <c r="D7" s="2"/>
      <c r="E7" s="66"/>
      <c r="F7" s="64" t="s">
        <v>250</v>
      </c>
      <c r="G7" s="67"/>
      <c r="H7" s="68" t="s">
        <v>36</v>
      </c>
      <c r="I7" s="2"/>
      <c r="J7" s="2"/>
      <c r="K7" s="2" t="s">
        <v>257</v>
      </c>
      <c r="L7" s="72" t="s">
        <v>27</v>
      </c>
      <c r="M7" s="2"/>
      <c r="N7" s="100" t="s">
        <v>22</v>
      </c>
      <c r="O7" s="102"/>
      <c r="P7" s="103"/>
      <c r="Q7" s="2"/>
      <c r="R7" s="2"/>
      <c r="S7" s="2" t="s">
        <v>258</v>
      </c>
    </row>
    <row r="8" spans="1:20" x14ac:dyDescent="0.35">
      <c r="A8" s="2"/>
      <c r="B8" s="2"/>
      <c r="C8" s="2"/>
      <c r="D8" s="2"/>
      <c r="E8" s="66"/>
      <c r="F8" s="64" t="s">
        <v>250</v>
      </c>
      <c r="G8" s="67"/>
      <c r="H8" s="68" t="s">
        <v>38</v>
      </c>
      <c r="I8" s="2"/>
      <c r="J8" s="2"/>
      <c r="K8" s="2" t="s">
        <v>259</v>
      </c>
      <c r="L8" s="72" t="s">
        <v>27</v>
      </c>
      <c r="M8" s="2"/>
      <c r="N8" s="100" t="s">
        <v>22</v>
      </c>
      <c r="O8" s="102"/>
      <c r="P8" s="103"/>
      <c r="Q8" s="2"/>
      <c r="R8" s="2" t="s">
        <v>260</v>
      </c>
      <c r="S8" s="2" t="s">
        <v>261</v>
      </c>
    </row>
    <row r="9" spans="1:20" x14ac:dyDescent="0.35">
      <c r="A9" s="2"/>
      <c r="B9" s="2"/>
      <c r="C9" s="2"/>
      <c r="D9" s="2"/>
      <c r="E9" s="66"/>
      <c r="F9" s="64" t="s">
        <v>250</v>
      </c>
      <c r="G9" s="67"/>
      <c r="H9" s="68" t="s">
        <v>40</v>
      </c>
      <c r="I9" s="2"/>
      <c r="J9" s="2"/>
      <c r="K9" s="2" t="s">
        <v>262</v>
      </c>
      <c r="L9" s="72" t="s">
        <v>27</v>
      </c>
      <c r="M9" s="2"/>
      <c r="N9" s="100" t="s">
        <v>22</v>
      </c>
      <c r="O9" s="102"/>
      <c r="P9" s="103"/>
      <c r="Q9" s="2"/>
      <c r="R9" s="2"/>
      <c r="S9" s="2"/>
    </row>
    <row r="10" spans="1:20" x14ac:dyDescent="0.35">
      <c r="A10" s="2"/>
      <c r="B10" s="2"/>
      <c r="C10" s="2"/>
      <c r="D10" s="2"/>
      <c r="E10" s="66"/>
      <c r="F10" s="64" t="s">
        <v>250</v>
      </c>
      <c r="G10" s="67"/>
      <c r="H10" s="68" t="s">
        <v>42</v>
      </c>
      <c r="I10" s="2"/>
      <c r="J10" s="81" t="s">
        <v>91</v>
      </c>
      <c r="K10" s="2" t="s">
        <v>263</v>
      </c>
      <c r="L10" s="72" t="s">
        <v>27</v>
      </c>
      <c r="M10" s="2"/>
      <c r="N10" s="100" t="s">
        <v>22</v>
      </c>
      <c r="O10" s="102"/>
      <c r="P10" s="103"/>
      <c r="Q10" s="104"/>
      <c r="R10" s="2"/>
      <c r="S10" s="2"/>
    </row>
    <row r="11" spans="1:20" x14ac:dyDescent="0.35">
      <c r="A11" s="2"/>
      <c r="B11" s="2"/>
      <c r="C11" s="2"/>
      <c r="D11" s="2"/>
      <c r="E11" s="66"/>
      <c r="F11" s="64" t="s">
        <v>250</v>
      </c>
      <c r="G11" s="67"/>
      <c r="H11" s="68" t="s">
        <v>148</v>
      </c>
      <c r="I11" s="2"/>
      <c r="J11" s="2"/>
      <c r="K11" s="2" t="s">
        <v>264</v>
      </c>
      <c r="L11" s="72" t="s">
        <v>27</v>
      </c>
      <c r="M11" s="2"/>
      <c r="N11" s="100" t="s">
        <v>22</v>
      </c>
      <c r="O11" s="102"/>
      <c r="P11" s="103"/>
      <c r="Q11" s="104"/>
      <c r="R11" s="2"/>
      <c r="S11" s="2"/>
    </row>
    <row r="12" spans="1:20" x14ac:dyDescent="0.35">
      <c r="A12" s="2"/>
      <c r="B12" s="2"/>
      <c r="C12" s="2"/>
      <c r="D12" s="2"/>
      <c r="E12" s="66"/>
      <c r="F12" s="64" t="s">
        <v>250</v>
      </c>
      <c r="G12" s="67"/>
      <c r="H12" s="68" t="s">
        <v>150</v>
      </c>
      <c r="I12" s="2"/>
      <c r="J12" s="2"/>
      <c r="K12" s="2" t="s">
        <v>265</v>
      </c>
      <c r="L12" s="72" t="s">
        <v>27</v>
      </c>
      <c r="M12" s="2"/>
      <c r="N12" s="100" t="s">
        <v>22</v>
      </c>
      <c r="O12" s="102"/>
      <c r="P12" s="103"/>
      <c r="Q12" s="104"/>
      <c r="R12" s="2"/>
      <c r="S12" s="2"/>
    </row>
    <row r="13" spans="1:20" x14ac:dyDescent="0.35">
      <c r="A13" s="2"/>
      <c r="B13" s="2"/>
      <c r="C13" s="2"/>
      <c r="D13" s="2"/>
      <c r="E13" s="66"/>
      <c r="F13" s="64" t="s">
        <v>250</v>
      </c>
      <c r="G13" s="67"/>
      <c r="H13" s="68" t="s">
        <v>44</v>
      </c>
      <c r="I13" s="2"/>
      <c r="J13" s="2"/>
      <c r="K13" s="2" t="s">
        <v>266</v>
      </c>
      <c r="L13" s="72" t="s">
        <v>27</v>
      </c>
      <c r="M13" s="2"/>
      <c r="N13" s="100" t="s">
        <v>22</v>
      </c>
      <c r="O13" s="102"/>
      <c r="P13" s="103"/>
      <c r="Q13" s="2"/>
      <c r="R13" s="2" t="s">
        <v>268</v>
      </c>
      <c r="S13" s="2" t="s">
        <v>269</v>
      </c>
    </row>
    <row r="14" spans="1:20" x14ac:dyDescent="0.35">
      <c r="A14" s="2"/>
      <c r="B14" s="2"/>
      <c r="C14" s="2"/>
      <c r="D14" s="2"/>
      <c r="E14" s="66"/>
      <c r="F14" s="64" t="s">
        <v>250</v>
      </c>
      <c r="G14" s="67"/>
      <c r="H14" s="68" t="s">
        <v>46</v>
      </c>
      <c r="I14" s="2"/>
      <c r="J14" s="2"/>
      <c r="K14" s="2" t="s">
        <v>270</v>
      </c>
      <c r="L14" s="72" t="s">
        <v>27</v>
      </c>
      <c r="M14" s="2"/>
      <c r="N14" s="100" t="s">
        <v>22</v>
      </c>
      <c r="O14" s="102"/>
      <c r="P14" s="103"/>
      <c r="Q14" s="2"/>
      <c r="R14" s="2"/>
      <c r="S14" s="2"/>
    </row>
    <row r="15" spans="1:20" x14ac:dyDescent="0.35">
      <c r="A15" s="2"/>
      <c r="B15" s="2"/>
      <c r="C15" s="2"/>
      <c r="D15" s="2"/>
      <c r="E15" s="66"/>
      <c r="F15" s="64" t="s">
        <v>250</v>
      </c>
      <c r="G15" s="67"/>
      <c r="H15" s="68" t="s">
        <v>48</v>
      </c>
      <c r="I15" s="2"/>
      <c r="J15" s="81"/>
      <c r="K15" s="2" t="s">
        <v>271</v>
      </c>
      <c r="L15" s="72" t="s">
        <v>27</v>
      </c>
      <c r="M15" s="2"/>
      <c r="N15" s="100" t="s">
        <v>22</v>
      </c>
      <c r="O15" s="104"/>
      <c r="P15" s="103"/>
      <c r="Q15" s="2"/>
      <c r="R15" s="2"/>
      <c r="S15" s="2"/>
    </row>
    <row r="16" spans="1:20" x14ac:dyDescent="0.35">
      <c r="A16" s="2"/>
      <c r="B16" s="2"/>
      <c r="C16" s="2"/>
      <c r="D16" s="2"/>
      <c r="E16" s="66"/>
      <c r="F16" s="64" t="s">
        <v>250</v>
      </c>
      <c r="G16" s="67"/>
      <c r="H16" s="68" t="s">
        <v>51</v>
      </c>
      <c r="I16" s="2"/>
      <c r="J16" s="2"/>
      <c r="K16" s="2" t="s">
        <v>272</v>
      </c>
      <c r="L16" s="72" t="s">
        <v>27</v>
      </c>
      <c r="M16" s="2"/>
      <c r="N16" s="100" t="s">
        <v>22</v>
      </c>
      <c r="O16" s="104"/>
      <c r="P16" s="103"/>
      <c r="Q16" s="2"/>
      <c r="R16" s="2"/>
      <c r="S16" s="2"/>
    </row>
    <row r="17" spans="1:19" x14ac:dyDescent="0.35">
      <c r="A17" s="2"/>
      <c r="B17" s="2"/>
      <c r="C17" s="2"/>
      <c r="D17" s="2"/>
      <c r="E17" s="66"/>
      <c r="F17" s="64" t="s">
        <v>250</v>
      </c>
      <c r="G17" s="67"/>
      <c r="H17" s="68" t="s">
        <v>53</v>
      </c>
      <c r="I17" s="2"/>
      <c r="J17" s="2"/>
      <c r="K17" s="2" t="s">
        <v>273</v>
      </c>
      <c r="L17" s="72" t="s">
        <v>27</v>
      </c>
      <c r="M17" s="2"/>
      <c r="N17" s="100" t="s">
        <v>22</v>
      </c>
      <c r="O17" s="104"/>
      <c r="P17" s="103"/>
      <c r="Q17" s="2"/>
      <c r="R17" s="2"/>
      <c r="S17" s="2"/>
    </row>
    <row r="18" spans="1:19" x14ac:dyDescent="0.35">
      <c r="A18" s="2"/>
      <c r="B18" s="2"/>
      <c r="C18" s="2"/>
      <c r="D18" s="2"/>
      <c r="E18" s="66"/>
      <c r="F18" s="64" t="s">
        <v>250</v>
      </c>
      <c r="G18" s="67"/>
      <c r="H18" s="68" t="s">
        <v>55</v>
      </c>
      <c r="I18" s="2"/>
      <c r="J18" s="2"/>
      <c r="K18" s="2" t="s">
        <v>274</v>
      </c>
      <c r="L18" s="72" t="s">
        <v>27</v>
      </c>
      <c r="M18" s="2"/>
      <c r="N18" s="100" t="s">
        <v>22</v>
      </c>
      <c r="O18" s="104"/>
      <c r="P18" s="103"/>
      <c r="Q18" s="104"/>
      <c r="R18" s="2"/>
      <c r="S18" s="2"/>
    </row>
    <row r="19" spans="1:19" ht="130.5" x14ac:dyDescent="0.35">
      <c r="A19" s="70" t="s">
        <v>275</v>
      </c>
      <c r="B19" s="2"/>
      <c r="C19" s="2"/>
      <c r="D19" s="84"/>
      <c r="E19" s="66"/>
      <c r="F19" s="2"/>
      <c r="G19" s="67"/>
      <c r="H19" s="68" t="s">
        <v>57</v>
      </c>
      <c r="I19" s="69" t="s">
        <v>20</v>
      </c>
      <c r="J19" s="83" t="s">
        <v>276</v>
      </c>
      <c r="K19" s="53" t="s">
        <v>277</v>
      </c>
      <c r="L19" s="54" t="s">
        <v>27</v>
      </c>
      <c r="M19" s="2"/>
      <c r="N19" s="100" t="s">
        <v>22</v>
      </c>
      <c r="O19" s="2"/>
      <c r="P19" s="2"/>
      <c r="Q19" s="2"/>
      <c r="R19" s="2"/>
      <c r="S19" s="2"/>
    </row>
    <row r="20" spans="1:19" x14ac:dyDescent="0.35">
      <c r="A20" s="2"/>
      <c r="B20" s="2"/>
      <c r="C20" s="2"/>
      <c r="D20" s="84"/>
      <c r="E20" s="66"/>
      <c r="F20" s="2"/>
      <c r="G20" s="67"/>
      <c r="H20" s="68" t="s">
        <v>59</v>
      </c>
      <c r="I20" s="2"/>
      <c r="J20" s="85"/>
      <c r="K20" s="93" t="s">
        <v>278</v>
      </c>
      <c r="L20" s="54" t="s">
        <v>27</v>
      </c>
      <c r="M20" s="2"/>
      <c r="N20" s="100" t="s">
        <v>22</v>
      </c>
      <c r="O20" s="2"/>
      <c r="P20" s="2"/>
      <c r="Q20" s="2"/>
      <c r="R20" s="2"/>
      <c r="S20" s="2"/>
    </row>
    <row r="21" spans="1:19" ht="26.5" x14ac:dyDescent="0.35">
      <c r="A21" s="2"/>
      <c r="B21" s="2"/>
      <c r="C21" s="2"/>
      <c r="D21" s="84"/>
      <c r="E21" s="66"/>
      <c r="F21" s="2"/>
      <c r="G21" s="67"/>
      <c r="H21" s="68" t="s">
        <v>61</v>
      </c>
      <c r="I21" s="2"/>
      <c r="J21" s="95"/>
      <c r="K21" s="67" t="s">
        <v>279</v>
      </c>
      <c r="L21" s="54" t="s">
        <v>27</v>
      </c>
      <c r="M21" s="2"/>
      <c r="N21" s="100" t="s">
        <v>22</v>
      </c>
      <c r="O21" s="2"/>
      <c r="P21" s="2"/>
      <c r="Q21" s="2"/>
      <c r="R21" s="2"/>
      <c r="S21" s="2"/>
    </row>
    <row r="22" spans="1:19" ht="26.5" x14ac:dyDescent="0.35">
      <c r="A22" s="2"/>
      <c r="B22" s="2"/>
      <c r="C22" s="2"/>
      <c r="D22" s="84"/>
      <c r="E22" s="66"/>
      <c r="F22" s="2"/>
      <c r="G22" s="67"/>
      <c r="H22" s="68" t="s">
        <v>161</v>
      </c>
      <c r="I22" s="2"/>
      <c r="J22" s="95"/>
      <c r="K22" s="67" t="s">
        <v>280</v>
      </c>
      <c r="L22" s="54" t="s">
        <v>27</v>
      </c>
      <c r="M22" s="2"/>
      <c r="N22" s="100" t="s">
        <v>22</v>
      </c>
      <c r="O22" s="2"/>
      <c r="P22" s="2"/>
      <c r="Q22" s="2"/>
      <c r="R22" s="2"/>
      <c r="S22" s="2"/>
    </row>
    <row r="23" spans="1:19" ht="15.5" x14ac:dyDescent="0.35">
      <c r="A23" s="2"/>
      <c r="B23" s="2"/>
      <c r="C23" s="2"/>
      <c r="D23" s="84"/>
      <c r="E23" s="66"/>
      <c r="F23" s="2"/>
      <c r="G23" s="67"/>
      <c r="H23" s="68" t="s">
        <v>63</v>
      </c>
      <c r="I23" s="2"/>
      <c r="J23" s="95"/>
      <c r="K23" s="67" t="s">
        <v>281</v>
      </c>
      <c r="L23" s="54" t="s">
        <v>27</v>
      </c>
      <c r="M23" s="2"/>
      <c r="N23" s="100" t="s">
        <v>22</v>
      </c>
      <c r="O23" s="2"/>
      <c r="P23" s="2"/>
      <c r="Q23" s="2"/>
      <c r="R23" s="2"/>
      <c r="S23" s="2" t="s">
        <v>282</v>
      </c>
    </row>
    <row r="24" spans="1:19" ht="15.5" x14ac:dyDescent="0.35">
      <c r="A24" s="2"/>
      <c r="B24" s="2"/>
      <c r="C24" s="2"/>
      <c r="D24" s="84"/>
      <c r="E24" s="66"/>
      <c r="F24" s="2"/>
      <c r="G24" s="67"/>
      <c r="H24" s="68" t="s">
        <v>65</v>
      </c>
      <c r="I24" s="2"/>
      <c r="J24" s="95"/>
      <c r="K24" s="67" t="s">
        <v>283</v>
      </c>
      <c r="L24" s="54" t="s">
        <v>27</v>
      </c>
      <c r="M24" s="2"/>
      <c r="N24" s="100" t="s">
        <v>22</v>
      </c>
      <c r="O24" s="2"/>
      <c r="P24" s="2"/>
      <c r="Q24" s="2"/>
      <c r="R24" s="2"/>
      <c r="S24" s="2"/>
    </row>
    <row r="25" spans="1:19" ht="26.5" x14ac:dyDescent="0.35">
      <c r="A25" s="2"/>
      <c r="B25" s="2"/>
      <c r="C25" s="2"/>
      <c r="D25" s="84"/>
      <c r="E25" s="66"/>
      <c r="F25" s="2"/>
      <c r="G25" s="67"/>
      <c r="H25" s="68" t="s">
        <v>67</v>
      </c>
      <c r="I25" s="2"/>
      <c r="J25" s="95"/>
      <c r="K25" s="67" t="s">
        <v>284</v>
      </c>
      <c r="L25" s="54" t="s">
        <v>27</v>
      </c>
      <c r="M25" s="2"/>
      <c r="N25" s="100" t="s">
        <v>22</v>
      </c>
      <c r="O25" s="2"/>
      <c r="P25" s="2"/>
      <c r="Q25" s="2"/>
      <c r="R25" s="2"/>
      <c r="S25" s="2"/>
    </row>
    <row r="26" spans="1:19" ht="26.5" x14ac:dyDescent="0.35">
      <c r="A26" s="2"/>
      <c r="B26" s="2"/>
      <c r="C26" s="2"/>
      <c r="D26" s="84"/>
      <c r="E26" s="66"/>
      <c r="F26" s="2"/>
      <c r="G26" s="67"/>
      <c r="H26" s="68" t="s">
        <v>69</v>
      </c>
      <c r="I26" s="2"/>
      <c r="J26" s="95"/>
      <c r="K26" s="67" t="s">
        <v>285</v>
      </c>
      <c r="L26" s="54" t="s">
        <v>27</v>
      </c>
      <c r="M26" s="2"/>
      <c r="N26" s="100" t="s">
        <v>22</v>
      </c>
      <c r="O26" s="2"/>
      <c r="P26" s="2"/>
      <c r="Q26" s="2"/>
      <c r="R26" s="2"/>
      <c r="S26" s="2"/>
    </row>
    <row r="27" spans="1:19" ht="15.5" x14ac:dyDescent="0.35">
      <c r="A27" s="2"/>
      <c r="B27" s="2"/>
      <c r="C27" s="2"/>
      <c r="D27" s="84"/>
      <c r="E27" s="66"/>
      <c r="F27" s="2"/>
      <c r="G27" s="67"/>
      <c r="H27" s="68" t="s">
        <v>72</v>
      </c>
      <c r="I27" s="2"/>
      <c r="J27" s="95"/>
      <c r="K27" s="53" t="s">
        <v>286</v>
      </c>
      <c r="L27" s="54" t="s">
        <v>27</v>
      </c>
      <c r="M27" s="2"/>
      <c r="N27" s="100" t="s">
        <v>22</v>
      </c>
      <c r="O27" s="2"/>
      <c r="P27" s="2"/>
      <c r="Q27" s="2"/>
      <c r="R27" s="2"/>
      <c r="S27" s="2"/>
    </row>
    <row r="28" spans="1:19" x14ac:dyDescent="0.35">
      <c r="A28" s="2"/>
      <c r="B28" s="2"/>
      <c r="C28" s="2"/>
      <c r="D28" s="84"/>
      <c r="E28" s="66"/>
      <c r="F28" s="64"/>
      <c r="G28" s="67"/>
      <c r="H28" s="68" t="s">
        <v>74</v>
      </c>
      <c r="I28" s="2"/>
      <c r="J28" s="81"/>
      <c r="K28" s="2" t="s">
        <v>263</v>
      </c>
      <c r="L28" s="72" t="s">
        <v>27</v>
      </c>
      <c r="M28" s="2"/>
      <c r="N28" s="100" t="s">
        <v>22</v>
      </c>
      <c r="O28" s="102"/>
      <c r="P28" s="103"/>
      <c r="Q28" s="2"/>
      <c r="R28" s="2"/>
      <c r="S28" s="2"/>
    </row>
    <row r="29" spans="1:19" x14ac:dyDescent="0.35">
      <c r="A29" s="2"/>
      <c r="B29" s="2"/>
      <c r="C29" s="2"/>
      <c r="D29" s="84"/>
      <c r="E29" s="66"/>
      <c r="F29" s="64"/>
      <c r="G29" s="67"/>
      <c r="H29" s="68" t="s">
        <v>78</v>
      </c>
      <c r="I29" s="2"/>
      <c r="J29" s="2"/>
      <c r="K29" s="2" t="s">
        <v>264</v>
      </c>
      <c r="L29" s="72" t="s">
        <v>27</v>
      </c>
      <c r="M29" s="2"/>
      <c r="N29" s="100" t="s">
        <v>22</v>
      </c>
      <c r="O29" s="102"/>
      <c r="P29" s="103"/>
      <c r="Q29" s="2"/>
      <c r="R29" s="2"/>
      <c r="S29" s="2"/>
    </row>
    <row r="30" spans="1:19" x14ac:dyDescent="0.35">
      <c r="A30" s="2"/>
      <c r="B30" s="2"/>
      <c r="C30" s="2"/>
      <c r="D30" s="84"/>
      <c r="E30" s="66"/>
      <c r="F30" s="64"/>
      <c r="G30" s="67"/>
      <c r="H30" s="68" t="s">
        <v>79</v>
      </c>
      <c r="I30" s="2"/>
      <c r="J30" s="2"/>
      <c r="K30" s="46" t="s">
        <v>287</v>
      </c>
      <c r="L30" s="72" t="s">
        <v>27</v>
      </c>
      <c r="M30" s="2"/>
      <c r="N30" s="100" t="s">
        <v>22</v>
      </c>
      <c r="O30" s="102"/>
      <c r="P30" s="103"/>
      <c r="Q30" s="2"/>
      <c r="R30" s="2"/>
      <c r="S30" s="2"/>
    </row>
    <row r="31" spans="1:19" x14ac:dyDescent="0.35">
      <c r="A31" s="2"/>
      <c r="B31" s="2"/>
      <c r="C31" s="2"/>
      <c r="D31" s="84"/>
      <c r="E31" s="66"/>
      <c r="F31" s="64"/>
      <c r="G31" s="67"/>
      <c r="H31" s="68" t="s">
        <v>80</v>
      </c>
      <c r="I31" s="2"/>
      <c r="J31" s="2"/>
      <c r="K31" s="2" t="s">
        <v>270</v>
      </c>
      <c r="L31" s="72" t="s">
        <v>27</v>
      </c>
      <c r="M31" s="2"/>
      <c r="N31" s="100" t="s">
        <v>22</v>
      </c>
      <c r="O31" s="102"/>
      <c r="P31" s="103"/>
      <c r="Q31" s="2"/>
      <c r="R31" s="2"/>
      <c r="S31" s="2"/>
    </row>
    <row r="32" spans="1:19" x14ac:dyDescent="0.35">
      <c r="A32" s="2"/>
      <c r="B32" s="2"/>
      <c r="C32" s="2"/>
      <c r="D32" s="84"/>
      <c r="E32" s="66"/>
      <c r="F32" s="64"/>
      <c r="G32" s="67"/>
      <c r="H32" s="68" t="s">
        <v>81</v>
      </c>
      <c r="I32" s="2"/>
      <c r="J32" s="2"/>
      <c r="K32" s="2" t="s">
        <v>288</v>
      </c>
      <c r="L32" s="72" t="s">
        <v>27</v>
      </c>
      <c r="M32" s="2"/>
      <c r="N32" s="100" t="s">
        <v>22</v>
      </c>
      <c r="O32" s="102"/>
      <c r="P32" s="103"/>
      <c r="Q32" s="2"/>
      <c r="R32" s="2"/>
      <c r="S32" s="2"/>
    </row>
    <row r="33" spans="1:19" ht="29" x14ac:dyDescent="0.35">
      <c r="A33" s="2"/>
      <c r="B33" s="2"/>
      <c r="C33" s="2"/>
      <c r="D33" s="84"/>
      <c r="E33" s="66"/>
      <c r="F33" s="64"/>
      <c r="G33" s="67"/>
      <c r="H33" s="68" t="s">
        <v>80</v>
      </c>
      <c r="I33" s="2"/>
      <c r="J33" s="2"/>
      <c r="K33" s="206" t="s">
        <v>289</v>
      </c>
      <c r="L33" s="72" t="s">
        <v>27</v>
      </c>
      <c r="M33" s="2"/>
      <c r="N33" s="100" t="s">
        <v>22</v>
      </c>
      <c r="O33" s="102"/>
      <c r="P33" s="103"/>
      <c r="Q33" s="2"/>
      <c r="R33" s="2"/>
      <c r="S33" s="2"/>
    </row>
    <row r="34" spans="1:19" ht="43.5" x14ac:dyDescent="0.35">
      <c r="A34" s="2"/>
      <c r="B34" s="2"/>
      <c r="C34" s="2"/>
      <c r="D34" s="174"/>
      <c r="E34" s="175"/>
      <c r="F34" s="176"/>
      <c r="G34" s="53"/>
      <c r="H34" s="177"/>
      <c r="I34" s="2"/>
      <c r="J34" s="2"/>
      <c r="K34" s="206" t="s">
        <v>290</v>
      </c>
      <c r="L34" s="178" t="s">
        <v>27</v>
      </c>
      <c r="M34" s="2"/>
      <c r="N34" s="100" t="s">
        <v>77</v>
      </c>
      <c r="O34" s="179"/>
      <c r="P34" s="103"/>
      <c r="Q34" s="2"/>
      <c r="R34" s="2"/>
      <c r="S34" s="2"/>
    </row>
    <row r="35" spans="1:19" ht="58" x14ac:dyDescent="0.35">
      <c r="A35" s="2"/>
      <c r="B35" s="2"/>
      <c r="C35" s="2"/>
      <c r="D35" s="84"/>
      <c r="E35" s="66"/>
      <c r="F35" s="64"/>
      <c r="G35" s="67"/>
      <c r="H35" s="68" t="s">
        <v>84</v>
      </c>
      <c r="I35" s="2"/>
      <c r="J35" s="2"/>
      <c r="K35" s="121" t="s">
        <v>291</v>
      </c>
      <c r="L35" s="72" t="s">
        <v>27</v>
      </c>
      <c r="M35" s="2"/>
      <c r="N35" s="100" t="s">
        <v>22</v>
      </c>
      <c r="O35" s="102"/>
      <c r="P35" s="103"/>
      <c r="Q35" s="2"/>
      <c r="R35" s="2"/>
      <c r="S35" s="2"/>
    </row>
    <row r="36" spans="1:19" x14ac:dyDescent="0.35">
      <c r="A36" s="2"/>
      <c r="B36" s="2"/>
      <c r="C36" s="2"/>
      <c r="D36" s="84"/>
      <c r="E36" s="66"/>
      <c r="F36" s="64"/>
      <c r="G36" s="67"/>
      <c r="H36" s="68" t="s">
        <v>86</v>
      </c>
      <c r="I36" s="2"/>
      <c r="J36" s="2"/>
      <c r="K36" s="3" t="s">
        <v>292</v>
      </c>
      <c r="L36" s="72" t="s">
        <v>27</v>
      </c>
      <c r="M36" s="2"/>
      <c r="N36" s="100" t="s">
        <v>22</v>
      </c>
      <c r="O36" s="102"/>
      <c r="P36" s="103"/>
      <c r="Q36" s="2"/>
      <c r="R36" s="2"/>
      <c r="S36" s="2" t="s">
        <v>294</v>
      </c>
    </row>
    <row r="37" spans="1:19" ht="58" x14ac:dyDescent="0.35">
      <c r="A37" s="2"/>
      <c r="B37" s="2"/>
      <c r="C37" s="2"/>
      <c r="D37" s="84"/>
      <c r="E37" s="66"/>
      <c r="F37" s="64"/>
      <c r="G37" s="67"/>
      <c r="H37" s="68" t="s">
        <v>88</v>
      </c>
      <c r="I37" s="2"/>
      <c r="J37" s="2"/>
      <c r="K37" s="3" t="s">
        <v>295</v>
      </c>
      <c r="L37" s="72" t="s">
        <v>27</v>
      </c>
      <c r="M37" s="2"/>
      <c r="N37" s="100" t="s">
        <v>77</v>
      </c>
      <c r="O37" s="102"/>
      <c r="P37" s="103"/>
      <c r="Q37" s="2"/>
      <c r="R37" s="2"/>
      <c r="S37" s="3" t="s">
        <v>296</v>
      </c>
    </row>
    <row r="38" spans="1:19" ht="29" x14ac:dyDescent="0.35">
      <c r="A38" s="2"/>
      <c r="B38" s="2"/>
      <c r="C38" s="2"/>
      <c r="D38" s="84"/>
      <c r="E38" s="66"/>
      <c r="F38" s="64"/>
      <c r="G38" s="67"/>
      <c r="H38" s="68" t="s">
        <v>89</v>
      </c>
      <c r="I38" s="2"/>
      <c r="J38" s="2"/>
      <c r="K38" s="3" t="s">
        <v>297</v>
      </c>
      <c r="L38" s="72" t="s">
        <v>27</v>
      </c>
      <c r="M38" s="2"/>
      <c r="N38" s="100" t="s">
        <v>22</v>
      </c>
      <c r="O38" s="102"/>
      <c r="P38" s="103"/>
      <c r="Q38" s="2"/>
      <c r="R38" s="2"/>
      <c r="S38" s="2"/>
    </row>
    <row r="39" spans="1:19" ht="43.5" x14ac:dyDescent="0.35">
      <c r="A39" s="2"/>
      <c r="B39" s="2"/>
      <c r="C39" s="2"/>
      <c r="D39" s="84"/>
      <c r="E39" s="66"/>
      <c r="F39" s="64"/>
      <c r="G39" s="67"/>
      <c r="H39" s="68" t="s">
        <v>90</v>
      </c>
      <c r="I39" s="2"/>
      <c r="J39" s="2"/>
      <c r="K39" s="122" t="s">
        <v>298</v>
      </c>
      <c r="L39" s="123" t="s">
        <v>27</v>
      </c>
      <c r="M39" s="124"/>
      <c r="N39" s="100" t="s">
        <v>77</v>
      </c>
      <c r="O39" s="102"/>
      <c r="P39" s="103"/>
      <c r="Q39" s="2"/>
      <c r="R39" s="2"/>
      <c r="S39" s="2" t="s">
        <v>299</v>
      </c>
    </row>
    <row r="40" spans="1:19" ht="43.5" x14ac:dyDescent="0.35">
      <c r="A40" s="2"/>
      <c r="B40" s="2"/>
      <c r="C40" s="2"/>
      <c r="D40" s="84"/>
      <c r="E40" s="66"/>
      <c r="F40" s="64"/>
      <c r="G40" s="67"/>
      <c r="H40" s="68" t="s">
        <v>90</v>
      </c>
      <c r="I40" s="2"/>
      <c r="J40" s="2"/>
      <c r="K40" s="122" t="s">
        <v>300</v>
      </c>
      <c r="L40" s="123" t="s">
        <v>27</v>
      </c>
      <c r="M40" s="124"/>
      <c r="N40" s="100" t="s">
        <v>22</v>
      </c>
      <c r="O40" s="102"/>
      <c r="P40" s="103"/>
      <c r="Q40" s="2"/>
      <c r="R40" s="2"/>
      <c r="S40" s="2" t="s">
        <v>299</v>
      </c>
    </row>
    <row r="41" spans="1:19" ht="43.5" x14ac:dyDescent="0.35">
      <c r="A41" s="2"/>
      <c r="B41" s="2"/>
      <c r="C41" s="2"/>
      <c r="D41" s="84"/>
      <c r="E41" s="66"/>
      <c r="F41" s="64"/>
      <c r="G41" s="67"/>
      <c r="H41" s="68" t="s">
        <v>93</v>
      </c>
      <c r="I41" s="2"/>
      <c r="J41" s="2"/>
      <c r="K41" s="3" t="s">
        <v>301</v>
      </c>
      <c r="L41" s="72" t="s">
        <v>27</v>
      </c>
      <c r="M41" s="2"/>
      <c r="N41" s="100" t="s">
        <v>22</v>
      </c>
      <c r="O41" s="102"/>
      <c r="P41" s="103"/>
      <c r="Q41" s="2"/>
      <c r="R41" s="2"/>
      <c r="S41" s="2"/>
    </row>
    <row r="42" spans="1:19" ht="29" x14ac:dyDescent="0.35">
      <c r="A42" s="2"/>
      <c r="B42" s="2"/>
      <c r="C42" s="2"/>
      <c r="D42" s="84"/>
      <c r="E42" s="66"/>
      <c r="F42" s="64"/>
      <c r="G42" s="67"/>
      <c r="H42" s="68" t="s">
        <v>95</v>
      </c>
      <c r="I42" s="2"/>
      <c r="J42" s="2"/>
      <c r="K42" s="24" t="s">
        <v>302</v>
      </c>
      <c r="L42" s="72" t="s">
        <v>27</v>
      </c>
      <c r="M42" s="2"/>
      <c r="N42" s="100" t="s">
        <v>22</v>
      </c>
      <c r="O42" s="102"/>
      <c r="P42" s="103"/>
      <c r="Q42" s="2"/>
      <c r="R42" s="2"/>
      <c r="S42" s="2"/>
    </row>
    <row r="43" spans="1:19" ht="43.5" x14ac:dyDescent="0.35">
      <c r="A43" s="2"/>
      <c r="B43" s="2"/>
      <c r="C43" s="2"/>
      <c r="D43" s="84"/>
      <c r="E43" s="66"/>
      <c r="F43" s="64"/>
      <c r="G43" s="67"/>
      <c r="H43" s="68" t="s">
        <v>97</v>
      </c>
      <c r="I43" s="2"/>
      <c r="J43" s="2"/>
      <c r="K43" s="125" t="s">
        <v>303</v>
      </c>
      <c r="L43" s="72" t="s">
        <v>27</v>
      </c>
      <c r="M43" s="2"/>
      <c r="N43" s="100" t="s">
        <v>77</v>
      </c>
      <c r="O43" s="102"/>
      <c r="P43" s="103"/>
      <c r="Q43" s="2"/>
      <c r="R43" s="2"/>
      <c r="S43" s="2"/>
    </row>
    <row r="44" spans="1:19" ht="29" x14ac:dyDescent="0.35">
      <c r="A44" s="2"/>
      <c r="B44" s="2"/>
      <c r="C44" s="2"/>
      <c r="D44" s="84"/>
      <c r="E44" s="66"/>
      <c r="F44" s="64"/>
      <c r="G44" s="67"/>
      <c r="H44" s="68" t="s">
        <v>99</v>
      </c>
      <c r="I44" s="2"/>
      <c r="J44" s="2"/>
      <c r="K44" s="3" t="s">
        <v>304</v>
      </c>
      <c r="L44" s="72" t="s">
        <v>27</v>
      </c>
      <c r="M44" s="2"/>
      <c r="N44" s="100" t="s">
        <v>22</v>
      </c>
      <c r="O44" s="102"/>
      <c r="P44" s="103"/>
      <c r="Q44" s="2"/>
      <c r="R44" s="2"/>
      <c r="S44" s="2"/>
    </row>
  </sheetData>
  <phoneticPr fontId="12" type="noConversion"/>
  <conditionalFormatting sqref="B2:C6 F2:F18 F28:F44">
    <cfRule type="expression" dxfId="37" priority="1" stopIfTrue="1">
      <formula>(#REF! = "Not First Step")</formula>
    </cfRule>
  </conditionalFormatting>
  <dataValidations count="2">
    <dataValidation type="list" allowBlank="1" showInputMessage="1" showErrorMessage="1" sqref="F1:F18 F28:F44" xr:uid="{2D776134-F89E-4D58-8019-BE90DC475C79}">
      <formula1>Status</formula1>
    </dataValidation>
    <dataValidation type="list" allowBlank="1" showInputMessage="1" showErrorMessage="1" sqref="N2:N44" xr:uid="{75E7509A-5218-48A9-876C-285A4C3A5B59}">
      <formula1>"Pass,Fail,Deferred,Not Valid,Not Applicable,In Progress,No Run"</formula1>
    </dataValidation>
  </dataValidation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3DC32-6C94-4A49-BD01-6A8D1D56E0BE}">
  <dimension ref="A1:S93"/>
  <sheetViews>
    <sheetView topLeftCell="K1" workbookViewId="0">
      <pane ySplit="1" topLeftCell="A74" activePane="bottomLeft" state="frozen"/>
      <selection pane="bottomLeft" activeCell="O80" sqref="O80"/>
    </sheetView>
  </sheetViews>
  <sheetFormatPr defaultRowHeight="14.5" x14ac:dyDescent="0.35"/>
  <cols>
    <col min="1" max="1" width="20.54296875" bestFit="1" customWidth="1"/>
    <col min="2" max="2" width="15.54296875" bestFit="1" customWidth="1"/>
    <col min="3" max="3" width="15.54296875" customWidth="1"/>
    <col min="4" max="4" width="7.453125" bestFit="1" customWidth="1"/>
    <col min="5" max="5" width="9.453125" bestFit="1" customWidth="1"/>
    <col min="6" max="6" width="13.54296875" bestFit="1" customWidth="1"/>
    <col min="7" max="7" width="8.54296875" bestFit="1" customWidth="1"/>
    <col min="8" max="8" width="9.453125" bestFit="1" customWidth="1"/>
    <col min="9" max="9" width="19.54296875" style="106" customWidth="1"/>
    <col min="10" max="10" width="24.54296875" style="106" customWidth="1"/>
    <col min="11" max="11" width="67.453125" style="106" customWidth="1"/>
    <col min="12" max="13" width="16" bestFit="1" customWidth="1"/>
    <col min="14" max="14" width="15.453125" customWidth="1"/>
    <col min="15" max="15" width="14.453125" bestFit="1" customWidth="1"/>
    <col min="16" max="16" width="14.453125" customWidth="1"/>
    <col min="17" max="17" width="17.453125" customWidth="1"/>
    <col min="18" max="18" width="18.54296875" customWidth="1"/>
    <col min="19" max="19" width="52.54296875" customWidth="1"/>
  </cols>
  <sheetData>
    <row r="1" spans="1:19" ht="26" x14ac:dyDescent="0.35">
      <c r="A1" s="58" t="s">
        <v>0</v>
      </c>
      <c r="B1" s="58" t="s">
        <v>1</v>
      </c>
      <c r="C1" s="58" t="s">
        <v>2</v>
      </c>
      <c r="D1" s="58" t="s">
        <v>3</v>
      </c>
      <c r="E1" s="58" t="s">
        <v>4</v>
      </c>
      <c r="F1" s="58" t="s">
        <v>5</v>
      </c>
      <c r="G1" s="58" t="s">
        <v>6</v>
      </c>
      <c r="H1" s="59" t="s">
        <v>7</v>
      </c>
      <c r="I1" s="59" t="s">
        <v>8</v>
      </c>
      <c r="J1" s="59" t="s">
        <v>9</v>
      </c>
      <c r="K1" s="59" t="s">
        <v>10</v>
      </c>
      <c r="L1" s="60" t="s">
        <v>11</v>
      </c>
      <c r="M1" s="60" t="s">
        <v>12</v>
      </c>
      <c r="N1" s="59" t="s">
        <v>13</v>
      </c>
      <c r="O1" s="61" t="s">
        <v>14</v>
      </c>
      <c r="P1" s="62" t="s">
        <v>15</v>
      </c>
      <c r="Q1" s="62" t="s">
        <v>16</v>
      </c>
      <c r="R1" s="62" t="s">
        <v>17</v>
      </c>
      <c r="S1" s="62" t="s">
        <v>18</v>
      </c>
    </row>
    <row r="2" spans="1:19" x14ac:dyDescent="0.35">
      <c r="A2" s="12" t="s">
        <v>305</v>
      </c>
      <c r="B2" s="11"/>
      <c r="C2" s="22" t="s">
        <v>306</v>
      </c>
      <c r="D2" s="23" t="s">
        <v>307</v>
      </c>
      <c r="E2" s="112"/>
      <c r="F2" s="112"/>
      <c r="G2" s="20"/>
      <c r="H2" s="10" t="s">
        <v>23</v>
      </c>
      <c r="I2" s="126"/>
      <c r="J2" s="267" t="s">
        <v>308</v>
      </c>
      <c r="K2" s="121" t="s">
        <v>309</v>
      </c>
      <c r="L2" s="25" t="s">
        <v>27</v>
      </c>
      <c r="M2" s="13"/>
      <c r="N2" s="2" t="s">
        <v>22</v>
      </c>
      <c r="O2" s="11"/>
      <c r="P2" s="11"/>
      <c r="Q2" s="14"/>
      <c r="R2" s="11"/>
      <c r="S2" s="11"/>
    </row>
    <row r="3" spans="1:19" x14ac:dyDescent="0.35">
      <c r="A3" s="126"/>
      <c r="B3" s="11"/>
      <c r="C3" s="22" t="s">
        <v>306</v>
      </c>
      <c r="D3" s="23" t="s">
        <v>307</v>
      </c>
      <c r="E3" s="112"/>
      <c r="F3" s="112"/>
      <c r="G3" s="20"/>
      <c r="H3" s="10" t="s">
        <v>28</v>
      </c>
      <c r="I3" s="126"/>
      <c r="J3" s="268"/>
      <c r="K3" s="121" t="s">
        <v>310</v>
      </c>
      <c r="L3" s="25"/>
      <c r="M3" s="13"/>
      <c r="N3" s="2" t="s">
        <v>22</v>
      </c>
      <c r="O3" s="11"/>
      <c r="P3" s="11"/>
      <c r="Q3" s="14"/>
      <c r="R3" s="11"/>
      <c r="S3" s="11"/>
    </row>
    <row r="4" spans="1:19" ht="29" x14ac:dyDescent="0.35">
      <c r="A4" s="17"/>
      <c r="B4" s="11"/>
      <c r="C4" s="22" t="s">
        <v>306</v>
      </c>
      <c r="D4" s="23" t="s">
        <v>307</v>
      </c>
      <c r="E4" s="112"/>
      <c r="F4" s="112"/>
      <c r="G4" s="20"/>
      <c r="H4" s="10" t="s">
        <v>32</v>
      </c>
      <c r="I4" s="11"/>
      <c r="J4" s="268"/>
      <c r="K4" s="128" t="s">
        <v>311</v>
      </c>
      <c r="L4" s="25" t="s">
        <v>27</v>
      </c>
      <c r="M4" s="129"/>
      <c r="N4" s="2" t="s">
        <v>77</v>
      </c>
      <c r="O4" s="11"/>
      <c r="P4" s="11"/>
      <c r="Q4" s="11"/>
      <c r="R4" s="11"/>
      <c r="S4" s="11"/>
    </row>
    <row r="5" spans="1:19" x14ac:dyDescent="0.35">
      <c r="A5" s="17"/>
      <c r="B5" s="11"/>
      <c r="C5" s="22" t="s">
        <v>306</v>
      </c>
      <c r="D5" s="23" t="s">
        <v>307</v>
      </c>
      <c r="E5" s="112"/>
      <c r="F5" s="112"/>
      <c r="G5" s="20"/>
      <c r="H5" s="10" t="s">
        <v>34</v>
      </c>
      <c r="I5" s="11"/>
      <c r="J5" s="268"/>
      <c r="K5" s="121" t="s">
        <v>312</v>
      </c>
      <c r="L5" s="25" t="s">
        <v>27</v>
      </c>
      <c r="M5" s="19"/>
      <c r="N5" s="2" t="s">
        <v>22</v>
      </c>
      <c r="O5" s="11"/>
      <c r="P5" s="11"/>
      <c r="Q5" s="11"/>
      <c r="R5" s="11"/>
      <c r="S5" s="11"/>
    </row>
    <row r="6" spans="1:19" ht="29" x14ac:dyDescent="0.35">
      <c r="A6" s="17"/>
      <c r="B6" s="11"/>
      <c r="C6" s="22" t="s">
        <v>306</v>
      </c>
      <c r="D6" s="23" t="s">
        <v>307</v>
      </c>
      <c r="E6" s="112"/>
      <c r="F6" s="112"/>
      <c r="G6" s="20"/>
      <c r="H6" s="10" t="s">
        <v>36</v>
      </c>
      <c r="I6" s="11"/>
      <c r="J6" s="268"/>
      <c r="K6" s="121" t="s">
        <v>313</v>
      </c>
      <c r="L6" s="25" t="s">
        <v>27</v>
      </c>
      <c r="M6" s="13"/>
      <c r="N6" s="2" t="s">
        <v>22</v>
      </c>
      <c r="O6" s="11"/>
      <c r="P6" s="11"/>
      <c r="Q6" s="11"/>
      <c r="R6" s="11"/>
      <c r="S6" s="11"/>
    </row>
    <row r="7" spans="1:19" ht="29" x14ac:dyDescent="0.35">
      <c r="A7" s="17"/>
      <c r="B7" s="11"/>
      <c r="C7" s="22" t="s">
        <v>306</v>
      </c>
      <c r="D7" s="23" t="s">
        <v>307</v>
      </c>
      <c r="E7" s="112"/>
      <c r="F7" s="112"/>
      <c r="G7" s="20"/>
      <c r="H7" s="10" t="s">
        <v>38</v>
      </c>
      <c r="I7" s="11"/>
      <c r="J7" s="269"/>
      <c r="K7" s="121" t="s">
        <v>314</v>
      </c>
      <c r="L7" s="25" t="s">
        <v>27</v>
      </c>
      <c r="M7" s="13"/>
      <c r="N7" s="2" t="s">
        <v>22</v>
      </c>
      <c r="O7" s="11"/>
      <c r="P7" s="11"/>
      <c r="Q7" s="11"/>
      <c r="R7" s="11"/>
      <c r="S7" s="11"/>
    </row>
    <row r="8" spans="1:19" ht="29" x14ac:dyDescent="0.35">
      <c r="A8" s="17"/>
      <c r="B8" s="11"/>
      <c r="C8" s="22" t="s">
        <v>306</v>
      </c>
      <c r="D8" s="23" t="s">
        <v>307</v>
      </c>
      <c r="E8" s="112"/>
      <c r="F8" s="112"/>
      <c r="G8" s="20"/>
      <c r="H8" s="10" t="s">
        <v>40</v>
      </c>
      <c r="I8" s="11"/>
      <c r="J8" s="127"/>
      <c r="K8" s="3" t="s">
        <v>315</v>
      </c>
      <c r="L8" s="25" t="s">
        <v>27</v>
      </c>
      <c r="M8" s="13"/>
      <c r="N8" s="2" t="s">
        <v>22</v>
      </c>
      <c r="O8" s="11"/>
      <c r="P8" s="11"/>
      <c r="Q8" s="11"/>
      <c r="R8" s="11"/>
      <c r="S8" s="11"/>
    </row>
    <row r="9" spans="1:19" ht="29" x14ac:dyDescent="0.35">
      <c r="A9" s="17"/>
      <c r="B9" s="11"/>
      <c r="C9" s="22" t="s">
        <v>306</v>
      </c>
      <c r="D9" s="23" t="s">
        <v>307</v>
      </c>
      <c r="E9" s="112"/>
      <c r="F9" s="112"/>
      <c r="G9" s="20"/>
      <c r="H9" s="10" t="s">
        <v>42</v>
      </c>
      <c r="I9" s="11"/>
      <c r="J9" s="127"/>
      <c r="K9" s="3" t="s">
        <v>316</v>
      </c>
      <c r="L9" s="25" t="s">
        <v>27</v>
      </c>
      <c r="M9" s="13"/>
      <c r="N9" s="2" t="s">
        <v>22</v>
      </c>
      <c r="O9" s="11"/>
      <c r="P9" s="11"/>
      <c r="Q9" s="11"/>
      <c r="R9" s="11"/>
      <c r="S9" s="11"/>
    </row>
    <row r="10" spans="1:19" ht="29" x14ac:dyDescent="0.35">
      <c r="A10" s="17"/>
      <c r="B10" s="11"/>
      <c r="C10" s="22" t="s">
        <v>306</v>
      </c>
      <c r="D10" s="23" t="s">
        <v>307</v>
      </c>
      <c r="E10" s="112"/>
      <c r="F10" s="112"/>
      <c r="G10" s="20"/>
      <c r="H10" s="10" t="s">
        <v>148</v>
      </c>
      <c r="I10" s="11"/>
      <c r="J10" s="127"/>
      <c r="K10" s="3" t="s">
        <v>317</v>
      </c>
      <c r="L10" s="25" t="s">
        <v>27</v>
      </c>
      <c r="M10" s="13"/>
      <c r="N10" s="2" t="s">
        <v>22</v>
      </c>
      <c r="O10" s="11"/>
      <c r="P10" s="11"/>
      <c r="Q10" s="11"/>
      <c r="R10" s="11"/>
      <c r="S10" s="11"/>
    </row>
    <row r="11" spans="1:19" ht="29" x14ac:dyDescent="0.35">
      <c r="A11" s="17"/>
      <c r="B11" s="11"/>
      <c r="C11" s="22" t="s">
        <v>306</v>
      </c>
      <c r="D11" s="23" t="s">
        <v>307</v>
      </c>
      <c r="E11" s="112"/>
      <c r="F11" s="112"/>
      <c r="G11" s="20"/>
      <c r="H11" s="10" t="s">
        <v>150</v>
      </c>
      <c r="I11" s="11"/>
      <c r="J11" s="127"/>
      <c r="K11" s="3" t="s">
        <v>318</v>
      </c>
      <c r="L11" s="25" t="s">
        <v>27</v>
      </c>
      <c r="M11" s="13"/>
      <c r="N11" s="2" t="s">
        <v>77</v>
      </c>
      <c r="O11" s="11"/>
      <c r="P11" s="11"/>
      <c r="Q11" s="11"/>
      <c r="R11" s="11"/>
      <c r="S11" s="11"/>
    </row>
    <row r="12" spans="1:19" ht="43.5" x14ac:dyDescent="0.35">
      <c r="A12" s="17"/>
      <c r="B12" s="11"/>
      <c r="C12" s="22" t="s">
        <v>306</v>
      </c>
      <c r="D12" s="23" t="s">
        <v>307</v>
      </c>
      <c r="E12" s="112"/>
      <c r="F12" s="112"/>
      <c r="G12" s="20"/>
      <c r="H12" s="10" t="s">
        <v>44</v>
      </c>
      <c r="I12" s="11"/>
      <c r="J12" s="127"/>
      <c r="K12" s="3" t="s">
        <v>319</v>
      </c>
      <c r="L12" s="25" t="s">
        <v>27</v>
      </c>
      <c r="M12" s="13"/>
      <c r="N12" s="2" t="s">
        <v>22</v>
      </c>
      <c r="O12" s="11"/>
      <c r="P12" s="11"/>
      <c r="Q12" s="11"/>
      <c r="R12" s="11"/>
      <c r="S12" s="11"/>
    </row>
    <row r="13" spans="1:19" ht="29.5" x14ac:dyDescent="0.4">
      <c r="A13" s="17"/>
      <c r="B13" s="11"/>
      <c r="C13" s="22" t="s">
        <v>306</v>
      </c>
      <c r="D13" s="23" t="s">
        <v>307</v>
      </c>
      <c r="E13" s="112"/>
      <c r="F13" s="112"/>
      <c r="G13" s="20"/>
      <c r="H13" s="10" t="s">
        <v>46</v>
      </c>
      <c r="I13" s="11"/>
      <c r="J13" s="127"/>
      <c r="K13" s="3" t="s">
        <v>320</v>
      </c>
      <c r="L13" s="25" t="s">
        <v>27</v>
      </c>
      <c r="M13" s="13"/>
      <c r="N13" s="2" t="s">
        <v>22</v>
      </c>
      <c r="O13" s="130"/>
      <c r="P13" s="11"/>
      <c r="Q13" s="11"/>
      <c r="R13" s="11"/>
      <c r="S13" s="11"/>
    </row>
    <row r="14" spans="1:19" ht="29" x14ac:dyDescent="0.35">
      <c r="A14" s="17"/>
      <c r="B14" s="11"/>
      <c r="C14" s="22" t="s">
        <v>306</v>
      </c>
      <c r="D14" s="23" t="s">
        <v>307</v>
      </c>
      <c r="E14" s="112"/>
      <c r="F14" s="112"/>
      <c r="G14" s="20"/>
      <c r="H14" s="10" t="s">
        <v>48</v>
      </c>
      <c r="I14" s="11"/>
      <c r="J14" s="127"/>
      <c r="K14" s="3" t="s">
        <v>321</v>
      </c>
      <c r="L14" s="25" t="s">
        <v>27</v>
      </c>
      <c r="M14" s="13"/>
      <c r="N14" s="2" t="s">
        <v>22</v>
      </c>
      <c r="O14" s="11"/>
      <c r="P14" s="11"/>
      <c r="Q14" s="11"/>
      <c r="R14" s="11"/>
      <c r="S14" s="11"/>
    </row>
    <row r="15" spans="1:19" ht="29" x14ac:dyDescent="0.35">
      <c r="A15" s="17"/>
      <c r="B15" s="11"/>
      <c r="C15" s="22" t="s">
        <v>306</v>
      </c>
      <c r="D15" s="23" t="s">
        <v>307</v>
      </c>
      <c r="E15" s="112"/>
      <c r="F15" s="112"/>
      <c r="G15" s="20"/>
      <c r="H15" s="10" t="s">
        <v>51</v>
      </c>
      <c r="I15" s="11"/>
      <c r="J15" s="127"/>
      <c r="K15" s="3" t="s">
        <v>322</v>
      </c>
      <c r="L15" s="25" t="s">
        <v>27</v>
      </c>
      <c r="M15" s="13"/>
      <c r="N15" s="2" t="s">
        <v>22</v>
      </c>
      <c r="O15" s="11"/>
      <c r="P15" s="11"/>
      <c r="Q15" s="11"/>
      <c r="R15" s="11"/>
      <c r="S15" s="11"/>
    </row>
    <row r="16" spans="1:19" ht="29" x14ac:dyDescent="0.35">
      <c r="A16" s="17"/>
      <c r="B16" s="11"/>
      <c r="C16" s="22" t="s">
        <v>306</v>
      </c>
      <c r="D16" s="23" t="s">
        <v>307</v>
      </c>
      <c r="E16" s="112"/>
      <c r="F16" s="112"/>
      <c r="G16" s="20"/>
      <c r="H16" s="10" t="s">
        <v>53</v>
      </c>
      <c r="I16" s="11"/>
      <c r="J16" s="131" t="s">
        <v>323</v>
      </c>
      <c r="K16" s="3" t="s">
        <v>324</v>
      </c>
      <c r="L16" s="25" t="s">
        <v>27</v>
      </c>
      <c r="M16" s="13"/>
      <c r="N16" s="2" t="s">
        <v>22</v>
      </c>
      <c r="O16" s="11"/>
      <c r="P16" s="11"/>
      <c r="Q16" s="11"/>
      <c r="R16" s="11"/>
      <c r="S16" s="11"/>
    </row>
    <row r="17" spans="1:19" ht="29" x14ac:dyDescent="0.35">
      <c r="A17" s="17"/>
      <c r="B17" s="11"/>
      <c r="C17" s="22" t="s">
        <v>306</v>
      </c>
      <c r="D17" s="23" t="s">
        <v>307</v>
      </c>
      <c r="E17" s="112"/>
      <c r="F17" s="112"/>
      <c r="G17" s="20"/>
      <c r="H17" s="10" t="s">
        <v>55</v>
      </c>
      <c r="I17" s="11"/>
      <c r="J17" s="132" t="s">
        <v>325</v>
      </c>
      <c r="K17" s="3" t="s">
        <v>326</v>
      </c>
      <c r="L17" s="25" t="s">
        <v>27</v>
      </c>
      <c r="M17" s="13"/>
      <c r="N17" s="2" t="s">
        <v>22</v>
      </c>
      <c r="O17" s="11"/>
      <c r="P17" s="11"/>
      <c r="Q17" s="11"/>
      <c r="R17" s="11"/>
      <c r="S17" s="11"/>
    </row>
    <row r="18" spans="1:19" ht="29" x14ac:dyDescent="0.35">
      <c r="A18" s="17"/>
      <c r="B18" s="11"/>
      <c r="C18" s="22" t="s">
        <v>306</v>
      </c>
      <c r="D18" s="23" t="s">
        <v>307</v>
      </c>
      <c r="E18" s="112"/>
      <c r="F18" s="112"/>
      <c r="G18" s="20"/>
      <c r="H18" s="10" t="s">
        <v>57</v>
      </c>
      <c r="I18" s="11"/>
      <c r="J18" s="131" t="s">
        <v>327</v>
      </c>
      <c r="K18" s="3" t="s">
        <v>328</v>
      </c>
      <c r="L18" s="25" t="s">
        <v>27</v>
      </c>
      <c r="M18" s="13"/>
      <c r="N18" s="2" t="s">
        <v>22</v>
      </c>
      <c r="O18" s="11"/>
      <c r="P18" s="11"/>
      <c r="Q18" s="11"/>
      <c r="R18" s="11"/>
      <c r="S18" s="11"/>
    </row>
    <row r="19" spans="1:19" ht="29" x14ac:dyDescent="0.35">
      <c r="A19" s="17"/>
      <c r="B19" s="11"/>
      <c r="C19" s="22" t="s">
        <v>306</v>
      </c>
      <c r="D19" s="23" t="s">
        <v>307</v>
      </c>
      <c r="E19" s="112"/>
      <c r="F19" s="112"/>
      <c r="G19" s="20"/>
      <c r="H19" s="10" t="s">
        <v>59</v>
      </c>
      <c r="I19" s="11"/>
      <c r="J19" s="270" t="s">
        <v>329</v>
      </c>
      <c r="K19" s="3" t="s">
        <v>330</v>
      </c>
      <c r="L19" s="25" t="s">
        <v>27</v>
      </c>
      <c r="M19" s="13"/>
      <c r="N19" s="2" t="s">
        <v>22</v>
      </c>
      <c r="O19" s="11"/>
      <c r="P19" s="11"/>
      <c r="Q19" s="11"/>
      <c r="R19" s="11"/>
      <c r="S19" s="11"/>
    </row>
    <row r="20" spans="1:19" ht="29" x14ac:dyDescent="0.35">
      <c r="A20" s="17"/>
      <c r="B20" s="11"/>
      <c r="C20" s="22" t="s">
        <v>306</v>
      </c>
      <c r="D20" s="23" t="s">
        <v>307</v>
      </c>
      <c r="E20" s="112"/>
      <c r="F20" s="112"/>
      <c r="G20" s="20"/>
      <c r="H20" s="10" t="s">
        <v>61</v>
      </c>
      <c r="I20" s="11"/>
      <c r="J20" s="271"/>
      <c r="K20" s="3" t="s">
        <v>331</v>
      </c>
      <c r="L20" s="25" t="s">
        <v>27</v>
      </c>
      <c r="M20" s="13"/>
      <c r="N20" s="2" t="s">
        <v>22</v>
      </c>
      <c r="O20" s="11"/>
      <c r="P20" s="11"/>
      <c r="Q20" s="11"/>
      <c r="R20" s="11"/>
      <c r="S20" s="11"/>
    </row>
    <row r="21" spans="1:19" ht="43.5" x14ac:dyDescent="0.35">
      <c r="A21" s="17"/>
      <c r="B21" s="11"/>
      <c r="C21" s="22" t="s">
        <v>306</v>
      </c>
      <c r="D21" s="23" t="s">
        <v>307</v>
      </c>
      <c r="E21" s="112"/>
      <c r="F21" s="112"/>
      <c r="G21" s="20"/>
      <c r="H21" s="10" t="s">
        <v>161</v>
      </c>
      <c r="I21" s="11"/>
      <c r="J21" s="271"/>
      <c r="K21" s="3" t="s">
        <v>332</v>
      </c>
      <c r="L21" s="25" t="s">
        <v>27</v>
      </c>
      <c r="M21" s="13"/>
      <c r="N21" s="2" t="s">
        <v>22</v>
      </c>
      <c r="O21" s="11"/>
      <c r="P21" s="11"/>
      <c r="Q21" s="11"/>
      <c r="R21" s="11"/>
      <c r="S21" s="11"/>
    </row>
    <row r="22" spans="1:19" ht="43.5" x14ac:dyDescent="0.35">
      <c r="A22" s="17"/>
      <c r="B22" s="11"/>
      <c r="C22" s="22" t="s">
        <v>306</v>
      </c>
      <c r="D22" s="23" t="s">
        <v>307</v>
      </c>
      <c r="E22" s="112"/>
      <c r="F22" s="112"/>
      <c r="G22" s="20"/>
      <c r="H22" s="10" t="s">
        <v>63</v>
      </c>
      <c r="I22" s="11"/>
      <c r="J22" s="272"/>
      <c r="K22" s="3" t="s">
        <v>333</v>
      </c>
      <c r="L22" s="25" t="s">
        <v>27</v>
      </c>
      <c r="M22" s="13"/>
      <c r="N22" s="2" t="s">
        <v>22</v>
      </c>
      <c r="O22" s="11"/>
      <c r="P22" s="11"/>
      <c r="Q22" s="11"/>
      <c r="R22" s="11"/>
      <c r="S22" s="11"/>
    </row>
    <row r="23" spans="1:19" ht="58" x14ac:dyDescent="0.35">
      <c r="A23" s="17"/>
      <c r="B23" s="11"/>
      <c r="C23" s="22" t="s">
        <v>306</v>
      </c>
      <c r="D23" s="23" t="s">
        <v>307</v>
      </c>
      <c r="E23" s="112"/>
      <c r="F23" s="112"/>
      <c r="G23" s="20"/>
      <c r="H23" s="10" t="s">
        <v>65</v>
      </c>
      <c r="I23" s="11"/>
      <c r="J23" s="131" t="s">
        <v>334</v>
      </c>
      <c r="K23" s="3" t="s">
        <v>335</v>
      </c>
      <c r="L23" s="25" t="s">
        <v>27</v>
      </c>
      <c r="M23" s="13"/>
      <c r="N23" s="2" t="s">
        <v>22</v>
      </c>
      <c r="O23" s="11"/>
      <c r="P23" s="11"/>
      <c r="Q23" s="11"/>
      <c r="R23" s="11"/>
      <c r="S23" s="11"/>
    </row>
    <row r="24" spans="1:19" ht="29" x14ac:dyDescent="0.35">
      <c r="A24" s="17"/>
      <c r="B24" s="11"/>
      <c r="C24" s="22" t="s">
        <v>306</v>
      </c>
      <c r="D24" s="23" t="s">
        <v>307</v>
      </c>
      <c r="E24" s="112"/>
      <c r="F24" s="112"/>
      <c r="G24" s="20"/>
      <c r="H24" s="10" t="s">
        <v>67</v>
      </c>
      <c r="I24" s="11"/>
      <c r="J24" s="132" t="s">
        <v>336</v>
      </c>
      <c r="K24" s="3" t="s">
        <v>337</v>
      </c>
      <c r="L24" s="25" t="s">
        <v>27</v>
      </c>
      <c r="M24" s="13"/>
      <c r="N24" s="2" t="s">
        <v>22</v>
      </c>
      <c r="O24" s="11"/>
      <c r="P24" s="11"/>
      <c r="Q24" s="11"/>
      <c r="R24" s="11"/>
      <c r="S24" s="11"/>
    </row>
    <row r="25" spans="1:19" x14ac:dyDescent="0.35">
      <c r="A25" s="17"/>
      <c r="B25" s="11"/>
      <c r="C25" s="22" t="s">
        <v>306</v>
      </c>
      <c r="D25" s="23" t="s">
        <v>307</v>
      </c>
      <c r="E25" s="112"/>
      <c r="F25" s="112"/>
      <c r="G25" s="20"/>
      <c r="H25" s="10" t="s">
        <v>69</v>
      </c>
      <c r="I25" s="11"/>
      <c r="J25" s="131" t="s">
        <v>338</v>
      </c>
      <c r="K25" s="3" t="s">
        <v>339</v>
      </c>
      <c r="L25" s="25" t="s">
        <v>27</v>
      </c>
      <c r="M25" s="13"/>
      <c r="N25" s="2" t="s">
        <v>22</v>
      </c>
      <c r="O25" s="11"/>
      <c r="P25" s="11"/>
      <c r="Q25" s="11"/>
      <c r="R25" s="11"/>
      <c r="S25" s="11"/>
    </row>
    <row r="26" spans="1:19" ht="29" x14ac:dyDescent="0.35">
      <c r="A26" s="17"/>
      <c r="B26" s="11"/>
      <c r="C26" s="22" t="s">
        <v>306</v>
      </c>
      <c r="D26" s="23" t="s">
        <v>307</v>
      </c>
      <c r="E26" s="112"/>
      <c r="F26" s="112"/>
      <c r="G26" s="20"/>
      <c r="H26" s="10" t="s">
        <v>72</v>
      </c>
      <c r="I26" s="11"/>
      <c r="J26" s="270" t="s">
        <v>340</v>
      </c>
      <c r="K26" s="3" t="s">
        <v>341</v>
      </c>
      <c r="L26" s="25" t="s">
        <v>27</v>
      </c>
      <c r="M26" s="13"/>
      <c r="N26" s="2" t="s">
        <v>22</v>
      </c>
      <c r="O26" s="133"/>
      <c r="P26" s="11"/>
      <c r="Q26" s="11"/>
      <c r="R26" s="11"/>
      <c r="S26" s="11"/>
    </row>
    <row r="27" spans="1:19" ht="29" x14ac:dyDescent="0.35">
      <c r="A27" s="17"/>
      <c r="B27" s="11"/>
      <c r="C27" s="22" t="s">
        <v>306</v>
      </c>
      <c r="D27" s="23" t="s">
        <v>307</v>
      </c>
      <c r="E27" s="112"/>
      <c r="F27" s="112"/>
      <c r="G27" s="20"/>
      <c r="H27" s="10" t="s">
        <v>74</v>
      </c>
      <c r="I27" s="11"/>
      <c r="J27" s="272"/>
      <c r="K27" s="3" t="s">
        <v>342</v>
      </c>
      <c r="L27" s="25" t="s">
        <v>27</v>
      </c>
      <c r="M27" s="13"/>
      <c r="N27" s="2" t="s">
        <v>343</v>
      </c>
      <c r="O27" s="11"/>
      <c r="P27" s="11"/>
      <c r="Q27" s="11"/>
      <c r="R27" s="11"/>
      <c r="S27" s="11"/>
    </row>
    <row r="28" spans="1:19" ht="29" x14ac:dyDescent="0.35">
      <c r="A28" s="17"/>
      <c r="B28" s="11"/>
      <c r="C28" s="22" t="s">
        <v>306</v>
      </c>
      <c r="D28" s="23" t="s">
        <v>307</v>
      </c>
      <c r="E28" s="112"/>
      <c r="F28" s="112"/>
      <c r="G28" s="20"/>
      <c r="H28" s="10" t="s">
        <v>78</v>
      </c>
      <c r="I28" s="11"/>
      <c r="J28" s="131" t="s">
        <v>344</v>
      </c>
      <c r="K28" s="3" t="s">
        <v>345</v>
      </c>
      <c r="L28" s="25" t="s">
        <v>27</v>
      </c>
      <c r="M28" s="13"/>
      <c r="N28" s="2" t="s">
        <v>22</v>
      </c>
      <c r="O28" s="11"/>
      <c r="P28" s="11"/>
      <c r="Q28" s="11"/>
      <c r="R28" s="11"/>
      <c r="S28" s="11"/>
    </row>
    <row r="29" spans="1:19" ht="29" x14ac:dyDescent="0.35">
      <c r="A29" s="17"/>
      <c r="B29" s="11"/>
      <c r="C29" s="22" t="s">
        <v>306</v>
      </c>
      <c r="D29" s="23" t="s">
        <v>307</v>
      </c>
      <c r="E29" s="112"/>
      <c r="F29" s="112"/>
      <c r="G29" s="20"/>
      <c r="H29" s="10" t="s">
        <v>81</v>
      </c>
      <c r="I29" s="11"/>
      <c r="J29" s="131" t="s">
        <v>346</v>
      </c>
      <c r="K29" s="3" t="s">
        <v>347</v>
      </c>
      <c r="L29" s="25" t="s">
        <v>27</v>
      </c>
      <c r="M29" s="13"/>
      <c r="N29" s="2" t="s">
        <v>22</v>
      </c>
      <c r="O29" s="11"/>
      <c r="P29" s="11"/>
      <c r="Q29" s="11"/>
      <c r="R29" s="11"/>
      <c r="S29" s="11"/>
    </row>
    <row r="30" spans="1:19" ht="29" x14ac:dyDescent="0.35">
      <c r="A30" s="12" t="s">
        <v>348</v>
      </c>
      <c r="B30" s="11"/>
      <c r="C30" s="22" t="s">
        <v>306</v>
      </c>
      <c r="D30" s="23" t="s">
        <v>307</v>
      </c>
      <c r="E30" s="112"/>
      <c r="F30" s="112"/>
      <c r="G30" s="20"/>
      <c r="H30" s="10" t="s">
        <v>82</v>
      </c>
      <c r="I30" s="11"/>
      <c r="J30" s="121" t="s">
        <v>348</v>
      </c>
      <c r="K30" s="121" t="s">
        <v>349</v>
      </c>
      <c r="L30" s="25" t="s">
        <v>27</v>
      </c>
      <c r="M30" s="13"/>
      <c r="N30" s="2" t="s">
        <v>22</v>
      </c>
      <c r="O30" s="11"/>
      <c r="P30" s="11"/>
      <c r="Q30" s="14"/>
      <c r="R30" s="11"/>
      <c r="S30" s="11"/>
    </row>
    <row r="31" spans="1:19" x14ac:dyDescent="0.35">
      <c r="A31" s="113"/>
      <c r="B31" s="11"/>
      <c r="C31" s="22" t="s">
        <v>306</v>
      </c>
      <c r="D31" s="23" t="s">
        <v>307</v>
      </c>
      <c r="E31" s="112"/>
      <c r="F31" s="112"/>
      <c r="G31" s="20"/>
      <c r="H31" s="10" t="s">
        <v>83</v>
      </c>
      <c r="I31" s="11"/>
      <c r="J31" s="134" t="s">
        <v>350</v>
      </c>
      <c r="K31" s="121" t="s">
        <v>351</v>
      </c>
      <c r="L31" s="25" t="s">
        <v>27</v>
      </c>
      <c r="M31" s="13"/>
      <c r="N31" s="2" t="s">
        <v>22</v>
      </c>
      <c r="O31" s="11"/>
      <c r="P31" s="11"/>
      <c r="Q31" s="11"/>
      <c r="R31" s="11"/>
      <c r="S31" s="11"/>
    </row>
    <row r="32" spans="1:19" ht="30" customHeight="1" x14ac:dyDescent="0.35">
      <c r="A32" s="17"/>
      <c r="B32" s="11"/>
      <c r="C32" s="22" t="s">
        <v>306</v>
      </c>
      <c r="D32" s="23" t="s">
        <v>307</v>
      </c>
      <c r="E32" s="112"/>
      <c r="F32" s="112"/>
      <c r="G32" s="20"/>
      <c r="H32" s="10" t="s">
        <v>84</v>
      </c>
      <c r="I32" s="11"/>
      <c r="J32" s="134" t="s">
        <v>346</v>
      </c>
      <c r="K32" s="121" t="s">
        <v>352</v>
      </c>
      <c r="L32" s="25" t="s">
        <v>27</v>
      </c>
      <c r="M32" s="13"/>
      <c r="N32" s="2" t="s">
        <v>22</v>
      </c>
      <c r="O32" s="11"/>
      <c r="P32" s="11"/>
      <c r="Q32" s="11"/>
      <c r="R32" s="11"/>
      <c r="S32" s="11"/>
    </row>
    <row r="33" spans="1:19" ht="29" x14ac:dyDescent="0.35">
      <c r="A33" s="17"/>
      <c r="B33" s="11"/>
      <c r="C33" s="22" t="s">
        <v>306</v>
      </c>
      <c r="D33" s="23" t="s">
        <v>307</v>
      </c>
      <c r="E33" s="112"/>
      <c r="F33" s="112"/>
      <c r="G33" s="20"/>
      <c r="H33" s="10" t="s">
        <v>86</v>
      </c>
      <c r="I33" s="11"/>
      <c r="J33" s="135"/>
      <c r="K33" s="3" t="s">
        <v>353</v>
      </c>
      <c r="L33" s="25" t="s">
        <v>27</v>
      </c>
      <c r="M33" s="13"/>
      <c r="N33" s="2" t="s">
        <v>22</v>
      </c>
      <c r="O33" s="11"/>
      <c r="P33" s="11"/>
      <c r="Q33" s="11"/>
      <c r="R33" s="11"/>
      <c r="S33" s="11"/>
    </row>
    <row r="34" spans="1:19" ht="29" x14ac:dyDescent="0.35">
      <c r="A34" s="136" t="s">
        <v>354</v>
      </c>
      <c r="C34" s="22" t="s">
        <v>306</v>
      </c>
      <c r="D34" s="23" t="s">
        <v>307</v>
      </c>
      <c r="H34" s="10" t="s">
        <v>89</v>
      </c>
      <c r="I34" s="262" t="s">
        <v>355</v>
      </c>
      <c r="J34" s="137" t="s">
        <v>356</v>
      </c>
      <c r="K34" s="131" t="s">
        <v>357</v>
      </c>
      <c r="L34" s="25" t="s">
        <v>27</v>
      </c>
      <c r="N34" s="2" t="s">
        <v>22</v>
      </c>
      <c r="O34" t="s">
        <v>358</v>
      </c>
    </row>
    <row r="35" spans="1:19" ht="29" x14ac:dyDescent="0.35">
      <c r="A35" s="2"/>
      <c r="C35" s="22" t="s">
        <v>306</v>
      </c>
      <c r="D35" s="23" t="s">
        <v>307</v>
      </c>
      <c r="H35" s="10" t="s">
        <v>93</v>
      </c>
      <c r="I35" s="263"/>
      <c r="J35" s="137" t="s">
        <v>359</v>
      </c>
      <c r="K35" s="131" t="s">
        <v>360</v>
      </c>
      <c r="L35" s="25" t="s">
        <v>27</v>
      </c>
      <c r="N35" s="2" t="s">
        <v>22</v>
      </c>
      <c r="O35" t="s">
        <v>358</v>
      </c>
    </row>
    <row r="36" spans="1:19" ht="29" x14ac:dyDescent="0.35">
      <c r="A36" s="2"/>
      <c r="C36" s="22" t="s">
        <v>306</v>
      </c>
      <c r="D36" s="23" t="s">
        <v>307</v>
      </c>
      <c r="H36" s="10" t="s">
        <v>95</v>
      </c>
      <c r="I36" s="264"/>
      <c r="J36" s="137" t="s">
        <v>361</v>
      </c>
      <c r="K36" s="131" t="s">
        <v>362</v>
      </c>
      <c r="L36" s="25" t="s">
        <v>27</v>
      </c>
      <c r="N36" s="2" t="s">
        <v>22</v>
      </c>
      <c r="O36" t="s">
        <v>358</v>
      </c>
    </row>
    <row r="37" spans="1:19" ht="29" x14ac:dyDescent="0.35">
      <c r="A37" s="2"/>
      <c r="C37" s="22" t="s">
        <v>306</v>
      </c>
      <c r="D37" s="23" t="s">
        <v>307</v>
      </c>
      <c r="H37" s="10" t="s">
        <v>97</v>
      </c>
      <c r="I37" s="138" t="s">
        <v>363</v>
      </c>
      <c r="J37" s="137" t="s">
        <v>364</v>
      </c>
      <c r="K37" s="131" t="s">
        <v>365</v>
      </c>
      <c r="L37" s="25" t="s">
        <v>27</v>
      </c>
      <c r="N37" s="2" t="s">
        <v>22</v>
      </c>
      <c r="O37" t="s">
        <v>358</v>
      </c>
    </row>
    <row r="38" spans="1:19" ht="29" x14ac:dyDescent="0.35">
      <c r="A38" s="2"/>
      <c r="C38" s="22" t="s">
        <v>306</v>
      </c>
      <c r="D38" s="23" t="s">
        <v>307</v>
      </c>
      <c r="H38" s="10" t="s">
        <v>99</v>
      </c>
      <c r="I38" s="138" t="s">
        <v>366</v>
      </c>
      <c r="J38" s="139" t="s">
        <v>367</v>
      </c>
      <c r="K38" s="131" t="s">
        <v>368</v>
      </c>
      <c r="L38" s="25" t="s">
        <v>27</v>
      </c>
      <c r="N38" s="2" t="s">
        <v>77</v>
      </c>
      <c r="O38" t="s">
        <v>358</v>
      </c>
    </row>
    <row r="39" spans="1:19" ht="29" x14ac:dyDescent="0.35">
      <c r="A39" s="2"/>
      <c r="C39" s="22" t="s">
        <v>306</v>
      </c>
      <c r="D39" s="23" t="s">
        <v>307</v>
      </c>
      <c r="H39" s="10" t="s">
        <v>101</v>
      </c>
      <c r="I39" s="262" t="s">
        <v>329</v>
      </c>
      <c r="J39" s="139" t="s">
        <v>369</v>
      </c>
      <c r="K39" s="131" t="s">
        <v>370</v>
      </c>
      <c r="L39" s="25" t="s">
        <v>27</v>
      </c>
      <c r="N39" s="2" t="s">
        <v>22</v>
      </c>
      <c r="O39" t="s">
        <v>358</v>
      </c>
    </row>
    <row r="40" spans="1:19" x14ac:dyDescent="0.35">
      <c r="A40" s="2"/>
      <c r="C40" s="22" t="s">
        <v>306</v>
      </c>
      <c r="D40" s="23" t="s">
        <v>307</v>
      </c>
      <c r="H40" s="10" t="s">
        <v>103</v>
      </c>
      <c r="I40" s="263"/>
      <c r="J40" s="139" t="s">
        <v>371</v>
      </c>
      <c r="K40" s="131" t="s">
        <v>372</v>
      </c>
      <c r="L40" s="25" t="s">
        <v>27</v>
      </c>
      <c r="N40" s="2" t="s">
        <v>77</v>
      </c>
      <c r="O40" t="s">
        <v>358</v>
      </c>
    </row>
    <row r="41" spans="1:19" ht="29" x14ac:dyDescent="0.35">
      <c r="A41" s="2"/>
      <c r="C41" s="22" t="s">
        <v>306</v>
      </c>
      <c r="D41" s="23" t="s">
        <v>307</v>
      </c>
      <c r="H41" s="10" t="s">
        <v>105</v>
      </c>
      <c r="I41" s="263"/>
      <c r="J41" s="139" t="s">
        <v>373</v>
      </c>
      <c r="K41" s="131" t="s">
        <v>374</v>
      </c>
      <c r="L41" s="25" t="s">
        <v>27</v>
      </c>
      <c r="N41" s="2" t="s">
        <v>22</v>
      </c>
      <c r="O41" t="s">
        <v>358</v>
      </c>
    </row>
    <row r="42" spans="1:19" ht="29" x14ac:dyDescent="0.35">
      <c r="A42" s="2"/>
      <c r="C42" s="22" t="s">
        <v>306</v>
      </c>
      <c r="D42" s="23" t="s">
        <v>307</v>
      </c>
      <c r="H42" s="10" t="s">
        <v>107</v>
      </c>
      <c r="I42" s="263"/>
      <c r="J42" s="139" t="s">
        <v>375</v>
      </c>
      <c r="K42" s="131" t="s">
        <v>376</v>
      </c>
      <c r="L42" s="25" t="s">
        <v>27</v>
      </c>
      <c r="N42" s="46" t="s">
        <v>343</v>
      </c>
      <c r="O42" t="s">
        <v>358</v>
      </c>
      <c r="S42" s="106" t="s">
        <v>377</v>
      </c>
    </row>
    <row r="43" spans="1:19" ht="29" x14ac:dyDescent="0.35">
      <c r="A43" s="2"/>
      <c r="C43" s="22" t="s">
        <v>306</v>
      </c>
      <c r="D43" s="23" t="s">
        <v>307</v>
      </c>
      <c r="H43" s="10" t="s">
        <v>109</v>
      </c>
      <c r="I43" s="263"/>
      <c r="J43" s="139" t="s">
        <v>378</v>
      </c>
      <c r="K43" s="131" t="s">
        <v>379</v>
      </c>
      <c r="L43" s="25" t="s">
        <v>27</v>
      </c>
      <c r="N43" s="46" t="s">
        <v>77</v>
      </c>
      <c r="O43" t="s">
        <v>358</v>
      </c>
      <c r="S43" s="106" t="s">
        <v>377</v>
      </c>
    </row>
    <row r="44" spans="1:19" x14ac:dyDescent="0.35">
      <c r="A44" s="2"/>
      <c r="C44" s="22" t="s">
        <v>306</v>
      </c>
      <c r="D44" s="23" t="s">
        <v>307</v>
      </c>
      <c r="H44" s="10" t="s">
        <v>112</v>
      </c>
      <c r="I44" s="263"/>
      <c r="J44" s="139" t="s">
        <v>380</v>
      </c>
      <c r="K44" s="131" t="s">
        <v>381</v>
      </c>
      <c r="L44" s="25" t="s">
        <v>27</v>
      </c>
      <c r="N44" s="46" t="s">
        <v>77</v>
      </c>
      <c r="O44" t="s">
        <v>358</v>
      </c>
    </row>
    <row r="45" spans="1:19" ht="29" x14ac:dyDescent="0.35">
      <c r="A45" s="2"/>
      <c r="C45" s="22" t="s">
        <v>306</v>
      </c>
      <c r="D45" s="23" t="s">
        <v>307</v>
      </c>
      <c r="H45" s="10" t="s">
        <v>113</v>
      </c>
      <c r="I45" s="263"/>
      <c r="J45" s="139" t="s">
        <v>382</v>
      </c>
      <c r="K45" s="131" t="s">
        <v>383</v>
      </c>
      <c r="L45" s="25" t="s">
        <v>27</v>
      </c>
      <c r="N45" s="46" t="s">
        <v>22</v>
      </c>
      <c r="O45" t="s">
        <v>358</v>
      </c>
      <c r="S45" s="106" t="s">
        <v>377</v>
      </c>
    </row>
    <row r="46" spans="1:19" ht="29" x14ac:dyDescent="0.35">
      <c r="A46" s="2"/>
      <c r="C46" s="22" t="s">
        <v>306</v>
      </c>
      <c r="D46" s="23" t="s">
        <v>307</v>
      </c>
      <c r="H46" s="10" t="s">
        <v>114</v>
      </c>
      <c r="I46" s="263"/>
      <c r="J46" s="139" t="s">
        <v>384</v>
      </c>
      <c r="K46" s="131" t="s">
        <v>385</v>
      </c>
      <c r="L46" s="25" t="s">
        <v>27</v>
      </c>
      <c r="N46" s="2" t="s">
        <v>77</v>
      </c>
      <c r="O46" t="s">
        <v>358</v>
      </c>
    </row>
    <row r="47" spans="1:19" ht="29" x14ac:dyDescent="0.35">
      <c r="A47" s="2"/>
      <c r="C47" s="22" t="s">
        <v>306</v>
      </c>
      <c r="D47" s="23" t="s">
        <v>307</v>
      </c>
      <c r="H47" s="10" t="s">
        <v>115</v>
      </c>
      <c r="I47" s="263"/>
      <c r="J47" s="139" t="s">
        <v>386</v>
      </c>
      <c r="K47" s="131" t="s">
        <v>387</v>
      </c>
      <c r="L47" s="25" t="s">
        <v>27</v>
      </c>
      <c r="N47" s="2" t="s">
        <v>22</v>
      </c>
      <c r="O47" t="s">
        <v>358</v>
      </c>
      <c r="S47" s="106" t="s">
        <v>388</v>
      </c>
    </row>
    <row r="48" spans="1:19" ht="29" x14ac:dyDescent="0.35">
      <c r="A48" s="2"/>
      <c r="C48" s="22" t="s">
        <v>306</v>
      </c>
      <c r="D48" s="23" t="s">
        <v>307</v>
      </c>
      <c r="H48" s="10" t="s">
        <v>116</v>
      </c>
      <c r="I48" s="264"/>
      <c r="J48" s="139" t="s">
        <v>389</v>
      </c>
      <c r="K48" s="131" t="s">
        <v>390</v>
      </c>
      <c r="L48" s="25" t="s">
        <v>27</v>
      </c>
      <c r="N48" s="46" t="s">
        <v>22</v>
      </c>
      <c r="O48" t="s">
        <v>358</v>
      </c>
    </row>
    <row r="49" spans="1:19" ht="29" x14ac:dyDescent="0.35">
      <c r="A49" s="2"/>
      <c r="C49" s="22" t="s">
        <v>306</v>
      </c>
      <c r="D49" s="23" t="s">
        <v>307</v>
      </c>
      <c r="H49" s="10" t="s">
        <v>117</v>
      </c>
      <c r="I49" s="139" t="s">
        <v>336</v>
      </c>
      <c r="J49" s="139" t="s">
        <v>391</v>
      </c>
      <c r="K49" s="131" t="s">
        <v>392</v>
      </c>
      <c r="L49" s="25" t="s">
        <v>27</v>
      </c>
      <c r="N49" s="46" t="s">
        <v>343</v>
      </c>
      <c r="O49" t="s">
        <v>358</v>
      </c>
      <c r="S49" s="106" t="s">
        <v>388</v>
      </c>
    </row>
    <row r="50" spans="1:19" x14ac:dyDescent="0.35">
      <c r="A50" s="2"/>
      <c r="C50" s="22" t="s">
        <v>306</v>
      </c>
      <c r="D50" s="23" t="s">
        <v>307</v>
      </c>
      <c r="H50" s="10" t="s">
        <v>119</v>
      </c>
      <c r="I50" s="139" t="s">
        <v>393</v>
      </c>
      <c r="J50" s="139" t="s">
        <v>394</v>
      </c>
      <c r="K50" s="131" t="s">
        <v>395</v>
      </c>
      <c r="L50" s="25" t="s">
        <v>27</v>
      </c>
      <c r="N50" s="46" t="s">
        <v>77</v>
      </c>
      <c r="O50" t="s">
        <v>358</v>
      </c>
    </row>
    <row r="51" spans="1:19" ht="58" x14ac:dyDescent="0.35">
      <c r="A51" s="2"/>
      <c r="C51" s="22" t="s">
        <v>306</v>
      </c>
      <c r="D51" s="23" t="s">
        <v>307</v>
      </c>
      <c r="H51" s="10" t="s">
        <v>120</v>
      </c>
      <c r="I51" s="139" t="s">
        <v>396</v>
      </c>
      <c r="J51" s="139" t="s">
        <v>397</v>
      </c>
      <c r="K51" s="131" t="s">
        <v>398</v>
      </c>
      <c r="L51" s="25" t="s">
        <v>27</v>
      </c>
      <c r="N51" s="46" t="s">
        <v>77</v>
      </c>
      <c r="O51" t="s">
        <v>358</v>
      </c>
      <c r="S51" s="106" t="s">
        <v>399</v>
      </c>
    </row>
    <row r="52" spans="1:19" x14ac:dyDescent="0.35">
      <c r="A52" s="2"/>
      <c r="C52" s="22" t="s">
        <v>306</v>
      </c>
      <c r="D52" s="23" t="s">
        <v>307</v>
      </c>
      <c r="H52" s="10" t="s">
        <v>121</v>
      </c>
      <c r="I52" s="265" t="s">
        <v>400</v>
      </c>
      <c r="J52" s="139" t="s">
        <v>401</v>
      </c>
      <c r="K52" s="131" t="s">
        <v>402</v>
      </c>
      <c r="L52" s="25" t="s">
        <v>27</v>
      </c>
      <c r="N52" s="2" t="s">
        <v>22</v>
      </c>
      <c r="O52" t="s">
        <v>358</v>
      </c>
    </row>
    <row r="53" spans="1:19" x14ac:dyDescent="0.35">
      <c r="A53" s="2"/>
      <c r="C53" s="22" t="s">
        <v>306</v>
      </c>
      <c r="D53" s="23" t="s">
        <v>307</v>
      </c>
      <c r="H53" s="10" t="s">
        <v>122</v>
      </c>
      <c r="I53" s="266"/>
      <c r="J53" s="139" t="s">
        <v>403</v>
      </c>
      <c r="K53" s="131" t="s">
        <v>404</v>
      </c>
      <c r="L53" s="25" t="s">
        <v>27</v>
      </c>
      <c r="N53" s="2" t="s">
        <v>22</v>
      </c>
      <c r="O53" t="s">
        <v>358</v>
      </c>
    </row>
    <row r="54" spans="1:19" ht="43.5" x14ac:dyDescent="0.35">
      <c r="A54" s="2"/>
      <c r="C54" s="22" t="s">
        <v>306</v>
      </c>
      <c r="D54" s="23" t="s">
        <v>307</v>
      </c>
      <c r="H54" s="10" t="s">
        <v>123</v>
      </c>
      <c r="I54" s="139" t="s">
        <v>405</v>
      </c>
      <c r="J54" s="139" t="s">
        <v>406</v>
      </c>
      <c r="K54" s="131" t="s">
        <v>407</v>
      </c>
      <c r="L54" s="25" t="s">
        <v>27</v>
      </c>
      <c r="N54" s="2" t="s">
        <v>22</v>
      </c>
      <c r="O54" t="s">
        <v>358</v>
      </c>
    </row>
    <row r="55" spans="1:19" x14ac:dyDescent="0.35">
      <c r="A55" s="12" t="s">
        <v>408</v>
      </c>
      <c r="B55" s="11"/>
      <c r="C55" s="22" t="s">
        <v>306</v>
      </c>
      <c r="D55" s="23" t="s">
        <v>307</v>
      </c>
      <c r="E55" s="112"/>
      <c r="F55" s="112"/>
      <c r="G55" s="20"/>
      <c r="H55" s="10" t="s">
        <v>124</v>
      </c>
      <c r="I55" s="11"/>
      <c r="J55" s="121" t="s">
        <v>409</v>
      </c>
      <c r="K55" s="48" t="s">
        <v>410</v>
      </c>
      <c r="L55" s="25" t="s">
        <v>27</v>
      </c>
      <c r="M55" s="13"/>
      <c r="N55" s="2" t="s">
        <v>22</v>
      </c>
      <c r="O55" s="11"/>
      <c r="P55" s="11"/>
      <c r="Q55" s="11"/>
      <c r="R55" s="11"/>
      <c r="S55" s="11"/>
    </row>
    <row r="56" spans="1:19" ht="29" x14ac:dyDescent="0.35">
      <c r="A56" s="126"/>
      <c r="B56" s="11"/>
      <c r="C56" s="22" t="s">
        <v>306</v>
      </c>
      <c r="D56" s="23" t="s">
        <v>307</v>
      </c>
      <c r="E56" s="112"/>
      <c r="F56" s="112"/>
      <c r="G56" s="20"/>
      <c r="H56" s="10" t="s">
        <v>125</v>
      </c>
      <c r="I56" s="11"/>
      <c r="J56" s="121"/>
      <c r="K56" s="140" t="s">
        <v>411</v>
      </c>
      <c r="L56" s="25" t="s">
        <v>27</v>
      </c>
      <c r="M56" s="13"/>
      <c r="N56" s="2" t="s">
        <v>77</v>
      </c>
      <c r="O56" s="216">
        <v>112001614396</v>
      </c>
      <c r="P56" s="11"/>
      <c r="Q56" s="11"/>
      <c r="R56" s="11"/>
      <c r="S56" s="11"/>
    </row>
    <row r="57" spans="1:19" ht="29" x14ac:dyDescent="0.35">
      <c r="A57" s="126"/>
      <c r="B57" s="11"/>
      <c r="C57" s="22" t="s">
        <v>306</v>
      </c>
      <c r="D57" s="23" t="s">
        <v>307</v>
      </c>
      <c r="E57" s="112"/>
      <c r="F57" s="112"/>
      <c r="G57" s="20"/>
      <c r="H57" s="10" t="s">
        <v>126</v>
      </c>
      <c r="I57" s="11"/>
      <c r="J57" s="121"/>
      <c r="K57" s="141" t="s">
        <v>412</v>
      </c>
      <c r="L57" s="142" t="s">
        <v>27</v>
      </c>
      <c r="M57" s="143"/>
      <c r="N57" s="2" t="s">
        <v>22</v>
      </c>
      <c r="O57" s="104">
        <v>112023698492</v>
      </c>
      <c r="P57" s="144"/>
      <c r="Q57" s="145"/>
      <c r="R57" s="144"/>
      <c r="S57" s="144"/>
    </row>
    <row r="58" spans="1:19" ht="29" x14ac:dyDescent="0.35">
      <c r="A58" s="126"/>
      <c r="B58" s="11"/>
      <c r="C58" s="22" t="s">
        <v>306</v>
      </c>
      <c r="D58" s="23" t="s">
        <v>307</v>
      </c>
      <c r="E58" s="112"/>
      <c r="F58" s="112"/>
      <c r="G58" s="20"/>
      <c r="H58" s="10" t="s">
        <v>127</v>
      </c>
      <c r="I58" s="11"/>
      <c r="J58" s="121"/>
      <c r="K58" s="141" t="s">
        <v>413</v>
      </c>
      <c r="L58" s="142" t="s">
        <v>27</v>
      </c>
      <c r="M58" s="143"/>
      <c r="N58" s="2" t="s">
        <v>77</v>
      </c>
      <c r="O58" s="144"/>
      <c r="P58" s="144"/>
      <c r="Q58" s="145"/>
      <c r="R58" s="144"/>
      <c r="S58" s="144"/>
    </row>
    <row r="59" spans="1:19" ht="29" x14ac:dyDescent="0.35">
      <c r="A59" s="126"/>
      <c r="B59" s="11"/>
      <c r="C59" s="22" t="s">
        <v>306</v>
      </c>
      <c r="D59" s="23" t="s">
        <v>307</v>
      </c>
      <c r="E59" s="112"/>
      <c r="F59" s="112"/>
      <c r="G59" s="20"/>
      <c r="H59" s="10" t="s">
        <v>129</v>
      </c>
      <c r="I59" s="11"/>
      <c r="J59" s="121"/>
      <c r="K59" s="135" t="s">
        <v>414</v>
      </c>
      <c r="L59" s="25" t="s">
        <v>27</v>
      </c>
      <c r="M59" s="13"/>
      <c r="N59" s="2" t="s">
        <v>22</v>
      </c>
      <c r="O59" s="11"/>
      <c r="P59" s="11"/>
      <c r="Q59" s="11"/>
      <c r="R59" s="11"/>
      <c r="S59" s="11"/>
    </row>
    <row r="60" spans="1:19" ht="29" x14ac:dyDescent="0.35">
      <c r="A60" s="126"/>
      <c r="B60" s="11"/>
      <c r="C60" s="22" t="s">
        <v>306</v>
      </c>
      <c r="D60" s="23" t="s">
        <v>307</v>
      </c>
      <c r="E60" s="112"/>
      <c r="F60" s="112"/>
      <c r="G60" s="20"/>
      <c r="H60" s="10" t="s">
        <v>130</v>
      </c>
      <c r="I60" s="11"/>
      <c r="J60" s="121"/>
      <c r="K60" s="135" t="s">
        <v>415</v>
      </c>
      <c r="L60" s="25" t="s">
        <v>27</v>
      </c>
      <c r="M60" s="13"/>
      <c r="N60" s="2" t="s">
        <v>22</v>
      </c>
      <c r="O60" s="11"/>
      <c r="P60" s="11"/>
      <c r="Q60" s="11"/>
      <c r="R60" s="11"/>
      <c r="S60" s="11"/>
    </row>
    <row r="61" spans="1:19" ht="29" x14ac:dyDescent="0.35">
      <c r="A61" s="126"/>
      <c r="B61" s="11"/>
      <c r="C61" s="22" t="s">
        <v>306</v>
      </c>
      <c r="D61" s="23" t="s">
        <v>307</v>
      </c>
      <c r="E61" s="112"/>
      <c r="F61" s="112"/>
      <c r="G61" s="20"/>
      <c r="H61" s="10" t="s">
        <v>131</v>
      </c>
      <c r="I61" s="11"/>
      <c r="J61" s="121"/>
      <c r="K61" s="146" t="s">
        <v>416</v>
      </c>
      <c r="L61" s="147" t="s">
        <v>27</v>
      </c>
      <c r="M61" s="148"/>
      <c r="N61" s="2" t="s">
        <v>22</v>
      </c>
      <c r="O61" s="150"/>
      <c r="P61" s="150"/>
      <c r="Q61" s="150"/>
      <c r="R61" s="150"/>
      <c r="S61" s="150"/>
    </row>
    <row r="62" spans="1:19" x14ac:dyDescent="0.35">
      <c r="A62" s="17"/>
      <c r="B62" s="11"/>
      <c r="C62" s="22" t="s">
        <v>306</v>
      </c>
      <c r="D62" s="23" t="s">
        <v>307</v>
      </c>
      <c r="E62" s="112"/>
      <c r="F62" s="112"/>
      <c r="G62" s="20"/>
      <c r="H62" s="10" t="s">
        <v>132</v>
      </c>
      <c r="I62" s="11"/>
      <c r="J62" s="121" t="s">
        <v>417</v>
      </c>
      <c r="K62" s="151" t="s">
        <v>418</v>
      </c>
      <c r="L62" s="142" t="s">
        <v>27</v>
      </c>
      <c r="M62" s="143"/>
      <c r="N62" s="2" t="s">
        <v>22</v>
      </c>
      <c r="O62" s="144"/>
      <c r="P62" s="144"/>
      <c r="Q62" s="145"/>
      <c r="R62" s="144"/>
      <c r="S62" s="144"/>
    </row>
    <row r="63" spans="1:19" ht="29" x14ac:dyDescent="0.35">
      <c r="A63" s="17"/>
      <c r="B63" s="11"/>
      <c r="C63" s="22" t="s">
        <v>306</v>
      </c>
      <c r="D63" s="23" t="s">
        <v>307</v>
      </c>
      <c r="E63" s="112"/>
      <c r="F63" s="112"/>
      <c r="G63" s="20"/>
      <c r="H63" s="10" t="s">
        <v>133</v>
      </c>
      <c r="I63" s="11"/>
      <c r="J63" s="121"/>
      <c r="K63" s="151" t="s">
        <v>419</v>
      </c>
      <c r="L63" s="142" t="s">
        <v>27</v>
      </c>
      <c r="M63" s="143"/>
      <c r="N63" s="2" t="s">
        <v>22</v>
      </c>
      <c r="O63" s="144"/>
      <c r="P63" s="152"/>
      <c r="Q63" s="145"/>
      <c r="R63" s="153"/>
      <c r="S63" s="144"/>
    </row>
    <row r="64" spans="1:19" ht="29" x14ac:dyDescent="0.35">
      <c r="A64" s="17"/>
      <c r="B64" s="11"/>
      <c r="C64" s="22" t="s">
        <v>306</v>
      </c>
      <c r="D64" s="23" t="s">
        <v>307</v>
      </c>
      <c r="E64" s="112"/>
      <c r="F64" s="112"/>
      <c r="G64" s="20"/>
      <c r="H64" s="10" t="s">
        <v>181</v>
      </c>
      <c r="I64" s="11"/>
      <c r="J64" s="121"/>
      <c r="K64" s="154" t="s">
        <v>420</v>
      </c>
      <c r="L64" s="142" t="s">
        <v>27</v>
      </c>
      <c r="M64" s="143"/>
      <c r="N64" s="2" t="s">
        <v>22</v>
      </c>
      <c r="O64" s="155"/>
      <c r="P64" s="155"/>
      <c r="Q64" s="145"/>
      <c r="R64" s="155"/>
      <c r="S64" s="144"/>
    </row>
    <row r="65" spans="1:19" ht="29" x14ac:dyDescent="0.35">
      <c r="A65" s="17"/>
      <c r="B65" s="11"/>
      <c r="C65" s="22" t="s">
        <v>306</v>
      </c>
      <c r="D65" s="23" t="s">
        <v>307</v>
      </c>
      <c r="E65" s="112"/>
      <c r="F65" s="112"/>
      <c r="G65" s="20"/>
      <c r="H65" s="10" t="s">
        <v>184</v>
      </c>
      <c r="I65" s="11"/>
      <c r="J65" s="121"/>
      <c r="K65" s="156" t="s">
        <v>421</v>
      </c>
      <c r="L65" s="157" t="s">
        <v>27</v>
      </c>
      <c r="M65" s="158"/>
      <c r="N65" s="2" t="s">
        <v>22</v>
      </c>
      <c r="P65" s="155"/>
      <c r="Q65" s="120"/>
      <c r="R65" s="155"/>
      <c r="S65" s="155"/>
    </row>
    <row r="66" spans="1:19" ht="29" x14ac:dyDescent="0.35">
      <c r="A66" s="17"/>
      <c r="B66" s="11"/>
      <c r="C66" s="22" t="s">
        <v>306</v>
      </c>
      <c r="D66" s="23" t="s">
        <v>307</v>
      </c>
      <c r="E66" s="112"/>
      <c r="F66" s="112"/>
      <c r="G66" s="20"/>
      <c r="H66" s="10" t="s">
        <v>186</v>
      </c>
      <c r="I66" s="11"/>
      <c r="J66" s="121"/>
      <c r="K66" s="154" t="s">
        <v>422</v>
      </c>
      <c r="L66" s="142" t="s">
        <v>27</v>
      </c>
      <c r="M66" s="143"/>
      <c r="N66" s="2" t="s">
        <v>22</v>
      </c>
      <c r="O66" s="155"/>
      <c r="P66" s="155"/>
      <c r="Q66" s="145"/>
      <c r="R66" s="155"/>
      <c r="S66" s="144"/>
    </row>
    <row r="67" spans="1:19" ht="43.5" x14ac:dyDescent="0.35">
      <c r="A67" s="17"/>
      <c r="B67" s="11"/>
      <c r="C67" s="22" t="s">
        <v>306</v>
      </c>
      <c r="D67" s="23" t="s">
        <v>307</v>
      </c>
      <c r="E67" s="112"/>
      <c r="F67" s="112"/>
      <c r="G67" s="20"/>
      <c r="H67" s="10" t="s">
        <v>188</v>
      </c>
      <c r="I67" s="11"/>
      <c r="J67" s="121"/>
      <c r="K67" s="154" t="s">
        <v>423</v>
      </c>
      <c r="L67" s="142" t="s">
        <v>27</v>
      </c>
      <c r="M67" s="143"/>
      <c r="N67" s="2" t="s">
        <v>77</v>
      </c>
      <c r="O67" s="155"/>
      <c r="P67" s="155"/>
      <c r="Q67" s="145"/>
      <c r="R67" s="155"/>
      <c r="S67" s="144"/>
    </row>
    <row r="68" spans="1:19" ht="29" x14ac:dyDescent="0.35">
      <c r="A68" s="17"/>
      <c r="B68" s="11"/>
      <c r="C68" s="22" t="s">
        <v>306</v>
      </c>
      <c r="D68" s="23" t="s">
        <v>307</v>
      </c>
      <c r="E68" s="112"/>
      <c r="F68" s="112"/>
      <c r="G68" s="20"/>
      <c r="H68" s="10" t="s">
        <v>190</v>
      </c>
      <c r="I68" s="11"/>
      <c r="J68" s="121"/>
      <c r="K68" s="141" t="s">
        <v>424</v>
      </c>
      <c r="L68" s="142" t="s">
        <v>27</v>
      </c>
      <c r="M68" s="143"/>
      <c r="N68" s="2" t="s">
        <v>22</v>
      </c>
      <c r="O68" s="155"/>
      <c r="P68" s="155"/>
      <c r="Q68" s="145"/>
      <c r="R68" s="155"/>
      <c r="S68" s="144"/>
    </row>
    <row r="69" spans="1:19" ht="29" x14ac:dyDescent="0.35">
      <c r="A69" s="17"/>
      <c r="B69" s="11"/>
      <c r="C69" s="22" t="s">
        <v>306</v>
      </c>
      <c r="D69" s="23" t="s">
        <v>307</v>
      </c>
      <c r="E69" s="112"/>
      <c r="F69" s="112"/>
      <c r="G69" s="20"/>
      <c r="H69" s="10" t="s">
        <v>192</v>
      </c>
      <c r="I69" s="11"/>
      <c r="J69" s="121"/>
      <c r="K69" s="135" t="s">
        <v>425</v>
      </c>
      <c r="L69" s="25" t="s">
        <v>27</v>
      </c>
      <c r="M69" s="13"/>
      <c r="N69" s="2" t="s">
        <v>77</v>
      </c>
      <c r="Q69" s="2"/>
    </row>
    <row r="70" spans="1:19" ht="29" x14ac:dyDescent="0.35">
      <c r="A70" s="17"/>
      <c r="B70" s="11"/>
      <c r="C70" s="22" t="s">
        <v>306</v>
      </c>
      <c r="D70" s="23" t="s">
        <v>307</v>
      </c>
      <c r="E70" s="112"/>
      <c r="F70" s="112"/>
      <c r="G70" s="20"/>
      <c r="H70" s="10" t="s">
        <v>194</v>
      </c>
      <c r="I70" s="11"/>
      <c r="J70" s="121"/>
      <c r="K70" s="141" t="s">
        <v>426</v>
      </c>
      <c r="L70" s="142" t="s">
        <v>27</v>
      </c>
      <c r="M70" s="143"/>
      <c r="N70" s="2" t="s">
        <v>22</v>
      </c>
      <c r="O70" s="155"/>
      <c r="P70" s="155"/>
      <c r="Q70" s="145"/>
      <c r="R70" s="155"/>
      <c r="S70" s="144"/>
    </row>
    <row r="71" spans="1:19" ht="29" x14ac:dyDescent="0.35">
      <c r="A71" s="17"/>
      <c r="B71" s="11"/>
      <c r="C71" s="22" t="s">
        <v>306</v>
      </c>
      <c r="D71" s="23" t="s">
        <v>307</v>
      </c>
      <c r="E71" s="112"/>
      <c r="F71" s="112"/>
      <c r="G71" s="20"/>
      <c r="H71" s="10" t="s">
        <v>196</v>
      </c>
      <c r="I71" s="11"/>
      <c r="J71" s="121"/>
      <c r="K71" s="146" t="s">
        <v>427</v>
      </c>
      <c r="L71" s="147" t="s">
        <v>27</v>
      </c>
      <c r="M71" s="148"/>
      <c r="N71" s="2" t="s">
        <v>22</v>
      </c>
      <c r="O71" s="159"/>
      <c r="P71" s="159"/>
      <c r="Q71" s="149"/>
      <c r="R71" s="159"/>
      <c r="S71" s="160"/>
    </row>
    <row r="72" spans="1:19" ht="29" x14ac:dyDescent="0.35">
      <c r="A72" s="17"/>
      <c r="B72" s="11"/>
      <c r="C72" s="22" t="s">
        <v>306</v>
      </c>
      <c r="D72" s="23" t="s">
        <v>307</v>
      </c>
      <c r="E72" s="112"/>
      <c r="F72" s="112"/>
      <c r="G72" s="20"/>
      <c r="H72" s="10" t="s">
        <v>199</v>
      </c>
      <c r="I72" s="11"/>
      <c r="J72" s="121"/>
      <c r="K72" s="146" t="s">
        <v>428</v>
      </c>
      <c r="L72" s="147" t="s">
        <v>27</v>
      </c>
      <c r="M72" s="148"/>
      <c r="N72" s="2" t="s">
        <v>22</v>
      </c>
      <c r="O72" s="159"/>
      <c r="P72" s="159"/>
      <c r="Q72" s="149"/>
      <c r="R72" s="159"/>
      <c r="S72" s="160"/>
    </row>
    <row r="73" spans="1:19" ht="29" x14ac:dyDescent="0.35">
      <c r="A73" s="17"/>
      <c r="B73" s="11"/>
      <c r="C73" s="22" t="s">
        <v>306</v>
      </c>
      <c r="D73" s="23" t="s">
        <v>307</v>
      </c>
      <c r="E73" s="112"/>
      <c r="F73" s="112"/>
      <c r="G73" s="20"/>
      <c r="H73" s="10" t="s">
        <v>201</v>
      </c>
      <c r="I73" s="11"/>
      <c r="J73" s="121" t="s">
        <v>429</v>
      </c>
      <c r="K73" s="121" t="s">
        <v>430</v>
      </c>
      <c r="L73" s="25" t="s">
        <v>27</v>
      </c>
      <c r="M73" s="13"/>
      <c r="N73" s="2" t="s">
        <v>22</v>
      </c>
      <c r="O73" s="11"/>
      <c r="P73" s="11"/>
      <c r="Q73" s="11"/>
      <c r="R73" s="11"/>
      <c r="S73" s="11"/>
    </row>
    <row r="74" spans="1:19" ht="29" x14ac:dyDescent="0.35">
      <c r="A74" s="17"/>
      <c r="B74" s="11"/>
      <c r="C74" s="22" t="s">
        <v>306</v>
      </c>
      <c r="D74" s="23" t="s">
        <v>307</v>
      </c>
      <c r="E74" s="112"/>
      <c r="F74" s="112"/>
      <c r="G74" s="20"/>
      <c r="H74" s="10" t="s">
        <v>203</v>
      </c>
      <c r="I74" s="11"/>
      <c r="J74" s="121"/>
      <c r="K74" s="135" t="s">
        <v>431</v>
      </c>
      <c r="L74" s="25" t="s">
        <v>27</v>
      </c>
      <c r="M74" s="13"/>
      <c r="N74" s="2" t="s">
        <v>22</v>
      </c>
      <c r="O74" s="11"/>
      <c r="P74" s="11"/>
      <c r="Q74" s="11"/>
      <c r="R74" s="11"/>
      <c r="S74" s="11"/>
    </row>
    <row r="75" spans="1:19" ht="43.5" x14ac:dyDescent="0.35">
      <c r="A75" s="17"/>
      <c r="B75" s="11"/>
      <c r="C75" s="22" t="s">
        <v>306</v>
      </c>
      <c r="D75" s="23" t="s">
        <v>307</v>
      </c>
      <c r="E75" s="112"/>
      <c r="F75" s="112"/>
      <c r="G75" s="20"/>
      <c r="H75" s="10" t="s">
        <v>205</v>
      </c>
      <c r="I75" s="11"/>
      <c r="J75" s="121"/>
      <c r="K75" s="135" t="s">
        <v>432</v>
      </c>
      <c r="L75" s="25" t="s">
        <v>27</v>
      </c>
      <c r="M75" s="13"/>
      <c r="N75" s="2" t="s">
        <v>22</v>
      </c>
      <c r="O75" s="11"/>
      <c r="P75" s="11"/>
      <c r="Q75" s="11"/>
      <c r="R75" s="11"/>
      <c r="S75" s="11"/>
    </row>
    <row r="76" spans="1:19" ht="29" x14ac:dyDescent="0.35">
      <c r="A76" s="17"/>
      <c r="B76" s="11"/>
      <c r="C76" s="22" t="s">
        <v>306</v>
      </c>
      <c r="D76" s="23" t="s">
        <v>307</v>
      </c>
      <c r="E76" s="112"/>
      <c r="F76" s="112"/>
      <c r="G76" s="20"/>
      <c r="H76" s="10" t="s">
        <v>207</v>
      </c>
      <c r="I76" s="11"/>
      <c r="J76" s="121"/>
      <c r="K76" s="135" t="s">
        <v>433</v>
      </c>
      <c r="L76" s="25" t="s">
        <v>27</v>
      </c>
      <c r="M76" s="13"/>
      <c r="N76" s="2" t="s">
        <v>22</v>
      </c>
      <c r="O76" s="11"/>
      <c r="P76" s="11"/>
      <c r="Q76" s="11"/>
      <c r="R76" s="11"/>
      <c r="S76" s="11"/>
    </row>
    <row r="77" spans="1:19" ht="43.5" x14ac:dyDescent="0.35">
      <c r="A77" s="17"/>
      <c r="B77" s="11"/>
      <c r="C77" s="22" t="s">
        <v>306</v>
      </c>
      <c r="D77" s="23" t="s">
        <v>307</v>
      </c>
      <c r="E77" s="112"/>
      <c r="F77" s="112"/>
      <c r="G77" s="20"/>
      <c r="H77" s="10" t="s">
        <v>209</v>
      </c>
      <c r="I77" s="11"/>
      <c r="J77" s="121"/>
      <c r="K77" s="135" t="s">
        <v>434</v>
      </c>
      <c r="L77" s="25" t="s">
        <v>27</v>
      </c>
      <c r="M77" s="13"/>
      <c r="N77" s="2" t="s">
        <v>22</v>
      </c>
      <c r="O77" s="11"/>
      <c r="P77" s="11"/>
      <c r="Q77" s="11"/>
      <c r="R77" s="11"/>
      <c r="S77" s="11"/>
    </row>
    <row r="78" spans="1:19" ht="29" x14ac:dyDescent="0.35">
      <c r="A78" s="17"/>
      <c r="B78" s="11"/>
      <c r="C78" s="22" t="s">
        <v>306</v>
      </c>
      <c r="D78" s="23" t="s">
        <v>307</v>
      </c>
      <c r="E78" s="112"/>
      <c r="F78" s="112"/>
      <c r="G78" s="20"/>
      <c r="H78" s="10" t="s">
        <v>212</v>
      </c>
      <c r="I78" s="11"/>
      <c r="J78" s="121"/>
      <c r="K78" s="146" t="s">
        <v>435</v>
      </c>
      <c r="L78" s="147" t="s">
        <v>27</v>
      </c>
      <c r="M78" s="148"/>
      <c r="N78" s="2" t="s">
        <v>22</v>
      </c>
      <c r="O78" s="11"/>
      <c r="P78" s="11"/>
      <c r="Q78" s="11"/>
      <c r="R78" s="11"/>
      <c r="S78" s="11"/>
    </row>
    <row r="79" spans="1:19" ht="29" x14ac:dyDescent="0.35">
      <c r="A79" s="17"/>
      <c r="B79" s="11"/>
      <c r="C79" s="22" t="s">
        <v>306</v>
      </c>
      <c r="D79" s="23" t="s">
        <v>307</v>
      </c>
      <c r="E79" s="112"/>
      <c r="F79" s="112"/>
      <c r="G79" s="20"/>
      <c r="H79" s="10" t="s">
        <v>215</v>
      </c>
      <c r="I79" s="11"/>
      <c r="J79" s="121"/>
      <c r="K79" s="146" t="s">
        <v>436</v>
      </c>
      <c r="L79" s="147" t="s">
        <v>27</v>
      </c>
      <c r="M79" s="148"/>
      <c r="N79" s="2" t="s">
        <v>22</v>
      </c>
      <c r="O79" s="11"/>
      <c r="P79" s="11"/>
      <c r="Q79" s="11"/>
      <c r="R79" s="11"/>
      <c r="S79" s="11"/>
    </row>
    <row r="80" spans="1:19" ht="29" x14ac:dyDescent="0.35">
      <c r="A80" s="17"/>
      <c r="B80" s="11"/>
      <c r="C80" s="22" t="s">
        <v>306</v>
      </c>
      <c r="D80" s="23" t="s">
        <v>307</v>
      </c>
      <c r="E80" s="112"/>
      <c r="F80" s="112"/>
      <c r="G80" s="20"/>
      <c r="H80" s="10" t="s">
        <v>218</v>
      </c>
      <c r="I80" s="11"/>
      <c r="J80" s="121"/>
      <c r="K80" s="161" t="s">
        <v>437</v>
      </c>
      <c r="L80" s="147" t="s">
        <v>27</v>
      </c>
      <c r="M80" s="148"/>
      <c r="N80" s="2" t="s">
        <v>22</v>
      </c>
      <c r="O80" s="216">
        <v>112024398592</v>
      </c>
      <c r="P80" s="11"/>
      <c r="Q80" s="11"/>
      <c r="R80" s="11"/>
      <c r="S80" s="11"/>
    </row>
    <row r="81" spans="1:19" x14ac:dyDescent="0.35">
      <c r="A81" s="17"/>
      <c r="B81" s="11"/>
      <c r="C81" s="22"/>
      <c r="D81" s="23"/>
      <c r="E81" s="112"/>
      <c r="F81" s="112"/>
      <c r="G81" s="20"/>
      <c r="H81" s="10"/>
      <c r="I81" s="11"/>
      <c r="J81" s="121"/>
      <c r="K81" s="161" t="s">
        <v>438</v>
      </c>
      <c r="L81" s="147"/>
      <c r="M81" s="148"/>
      <c r="N81" s="2" t="s">
        <v>22</v>
      </c>
      <c r="O81" s="11"/>
      <c r="P81" s="11"/>
      <c r="Q81" s="11"/>
      <c r="R81" s="11"/>
      <c r="S81" s="11"/>
    </row>
    <row r="82" spans="1:19" ht="43.5" x14ac:dyDescent="0.35">
      <c r="A82" s="17"/>
      <c r="B82" s="11"/>
      <c r="C82" s="22" t="s">
        <v>306</v>
      </c>
      <c r="D82" s="23" t="s">
        <v>307</v>
      </c>
      <c r="E82" s="112"/>
      <c r="F82" s="112"/>
      <c r="G82" s="20"/>
      <c r="H82" s="10" t="s">
        <v>220</v>
      </c>
      <c r="I82" s="11"/>
      <c r="J82" s="121"/>
      <c r="K82" s="162" t="s">
        <v>439</v>
      </c>
      <c r="L82" s="163" t="s">
        <v>27</v>
      </c>
      <c r="M82" s="164"/>
      <c r="N82" s="2" t="s">
        <v>22</v>
      </c>
      <c r="O82" s="11"/>
      <c r="P82" s="11"/>
      <c r="Q82" s="11"/>
      <c r="R82" s="11"/>
      <c r="S82" s="11"/>
    </row>
    <row r="83" spans="1:19" x14ac:dyDescent="0.35">
      <c r="A83" s="17"/>
      <c r="B83" s="11"/>
      <c r="C83" s="22" t="s">
        <v>306</v>
      </c>
      <c r="D83" s="23" t="s">
        <v>307</v>
      </c>
      <c r="E83" s="112"/>
      <c r="F83" s="112"/>
      <c r="G83" s="20"/>
      <c r="H83" s="10" t="s">
        <v>222</v>
      </c>
      <c r="I83" s="11"/>
      <c r="J83" s="121" t="s">
        <v>440</v>
      </c>
      <c r="K83" s="121" t="s">
        <v>441</v>
      </c>
      <c r="L83" s="25" t="s">
        <v>27</v>
      </c>
      <c r="M83" s="13"/>
      <c r="N83" s="2" t="s">
        <v>22</v>
      </c>
      <c r="O83" s="11"/>
      <c r="P83" s="11"/>
      <c r="Q83" s="11"/>
      <c r="R83" s="11"/>
      <c r="S83" s="11"/>
    </row>
    <row r="84" spans="1:19" ht="29" x14ac:dyDescent="0.35">
      <c r="A84" s="17"/>
      <c r="B84" s="11"/>
      <c r="C84" s="22" t="s">
        <v>306</v>
      </c>
      <c r="D84" s="23" t="s">
        <v>307</v>
      </c>
      <c r="E84" s="112"/>
      <c r="F84" s="112"/>
      <c r="G84" s="20"/>
      <c r="H84" s="10" t="s">
        <v>224</v>
      </c>
      <c r="I84" s="11"/>
      <c r="J84" s="121"/>
      <c r="K84" s="121" t="s">
        <v>442</v>
      </c>
      <c r="L84" s="25" t="s">
        <v>27</v>
      </c>
      <c r="M84" s="13"/>
      <c r="N84" s="2" t="s">
        <v>22</v>
      </c>
      <c r="O84" s="11"/>
      <c r="P84" s="11"/>
      <c r="Q84" s="11"/>
      <c r="R84" s="11"/>
      <c r="S84" s="11"/>
    </row>
    <row r="85" spans="1:19" ht="43.5" x14ac:dyDescent="0.35">
      <c r="A85" s="17"/>
      <c r="B85" s="11"/>
      <c r="C85" s="22" t="s">
        <v>306</v>
      </c>
      <c r="D85" s="23" t="s">
        <v>307</v>
      </c>
      <c r="E85" s="112"/>
      <c r="F85" s="112"/>
      <c r="G85" s="20"/>
      <c r="H85" s="10" t="s">
        <v>226</v>
      </c>
      <c r="I85" s="11"/>
      <c r="J85" s="121"/>
      <c r="K85" s="121" t="s">
        <v>443</v>
      </c>
      <c r="L85" s="25" t="s">
        <v>27</v>
      </c>
      <c r="M85" s="13"/>
      <c r="N85" s="2" t="s">
        <v>22</v>
      </c>
      <c r="O85" s="11"/>
      <c r="P85" s="11"/>
      <c r="Q85" s="11"/>
      <c r="R85" s="11"/>
      <c r="S85" s="11"/>
    </row>
    <row r="86" spans="1:19" ht="29" x14ac:dyDescent="0.35">
      <c r="A86" s="17"/>
      <c r="B86" s="11"/>
      <c r="C86" s="22" t="s">
        <v>306</v>
      </c>
      <c r="D86" s="23" t="s">
        <v>307</v>
      </c>
      <c r="E86" s="112"/>
      <c r="F86" s="112"/>
      <c r="G86" s="20"/>
      <c r="H86" s="10" t="s">
        <v>229</v>
      </c>
      <c r="I86" s="11"/>
      <c r="J86" s="121"/>
      <c r="K86" s="121" t="s">
        <v>444</v>
      </c>
      <c r="L86" s="25" t="s">
        <v>27</v>
      </c>
      <c r="M86" s="13"/>
      <c r="N86" s="2" t="s">
        <v>77</v>
      </c>
      <c r="O86" s="11" t="s">
        <v>445</v>
      </c>
      <c r="P86" s="11"/>
      <c r="Q86" s="11"/>
      <c r="R86" s="11"/>
      <c r="S86" s="11"/>
    </row>
    <row r="87" spans="1:19" ht="29" x14ac:dyDescent="0.35">
      <c r="A87" s="17"/>
      <c r="B87" s="11"/>
      <c r="C87" s="22" t="s">
        <v>306</v>
      </c>
      <c r="D87" s="23" t="s">
        <v>307</v>
      </c>
      <c r="E87" s="112"/>
      <c r="F87" s="112"/>
      <c r="G87" s="20"/>
      <c r="H87" s="10" t="s">
        <v>231</v>
      </c>
      <c r="I87" s="11"/>
      <c r="J87" s="121"/>
      <c r="K87" s="135" t="s">
        <v>446</v>
      </c>
      <c r="L87" s="25" t="s">
        <v>27</v>
      </c>
      <c r="M87" s="13"/>
      <c r="N87" s="2" t="s">
        <v>22</v>
      </c>
      <c r="O87" s="11"/>
      <c r="P87" s="11"/>
      <c r="Q87" s="11"/>
      <c r="R87" s="11"/>
      <c r="S87" s="11"/>
    </row>
    <row r="88" spans="1:19" ht="29" x14ac:dyDescent="0.35">
      <c r="A88" s="17"/>
      <c r="B88" s="11"/>
      <c r="C88" s="22" t="s">
        <v>306</v>
      </c>
      <c r="D88" s="23" t="s">
        <v>307</v>
      </c>
      <c r="E88" s="112"/>
      <c r="F88" s="112"/>
      <c r="G88" s="20"/>
      <c r="H88" s="10" t="s">
        <v>232</v>
      </c>
      <c r="I88" s="11"/>
      <c r="J88" s="121"/>
      <c r="K88" s="135" t="s">
        <v>447</v>
      </c>
      <c r="L88" s="25" t="s">
        <v>27</v>
      </c>
      <c r="M88" s="13"/>
      <c r="N88" s="2" t="s">
        <v>22</v>
      </c>
      <c r="O88" s="11"/>
      <c r="P88" s="11"/>
      <c r="Q88" s="11"/>
      <c r="R88" s="11"/>
      <c r="S88" s="11"/>
    </row>
    <row r="89" spans="1:19" ht="29" x14ac:dyDescent="0.35">
      <c r="A89" s="17"/>
      <c r="B89" s="11"/>
      <c r="C89" s="22" t="s">
        <v>306</v>
      </c>
      <c r="D89" s="23" t="s">
        <v>307</v>
      </c>
      <c r="E89" s="112"/>
      <c r="F89" s="112"/>
      <c r="G89" s="20"/>
      <c r="H89" s="10" t="s">
        <v>233</v>
      </c>
      <c r="I89" s="11"/>
      <c r="J89" s="121"/>
      <c r="K89" s="135" t="s">
        <v>448</v>
      </c>
      <c r="L89" s="25" t="s">
        <v>27</v>
      </c>
      <c r="M89" s="13"/>
      <c r="N89" s="2" t="s">
        <v>22</v>
      </c>
      <c r="O89" s="11"/>
      <c r="P89" s="11"/>
      <c r="Q89" s="11"/>
      <c r="R89" s="11"/>
      <c r="S89" s="11"/>
    </row>
    <row r="90" spans="1:19" ht="58" x14ac:dyDescent="0.35">
      <c r="A90" s="17"/>
      <c r="B90" s="11"/>
      <c r="C90" s="22" t="s">
        <v>306</v>
      </c>
      <c r="D90" s="23" t="s">
        <v>307</v>
      </c>
      <c r="E90" s="112"/>
      <c r="F90" s="112"/>
      <c r="G90" s="20"/>
      <c r="H90" s="10" t="s">
        <v>449</v>
      </c>
      <c r="I90" s="11"/>
      <c r="J90" s="121"/>
      <c r="K90" s="135" t="s">
        <v>450</v>
      </c>
      <c r="L90" s="25" t="s">
        <v>27</v>
      </c>
      <c r="M90" s="13"/>
      <c r="N90" s="2" t="s">
        <v>22</v>
      </c>
      <c r="O90" s="11"/>
      <c r="P90" s="11"/>
      <c r="Q90" s="11"/>
      <c r="R90" s="11"/>
      <c r="S90" s="11"/>
    </row>
    <row r="91" spans="1:19" x14ac:dyDescent="0.35">
      <c r="A91" s="17"/>
      <c r="B91" s="11"/>
      <c r="C91" s="22" t="s">
        <v>306</v>
      </c>
      <c r="D91" s="23" t="s">
        <v>307</v>
      </c>
      <c r="E91" s="112"/>
      <c r="F91" s="112"/>
      <c r="G91" s="20"/>
      <c r="H91" s="10" t="s">
        <v>451</v>
      </c>
      <c r="I91" s="11"/>
      <c r="J91" s="121"/>
      <c r="K91" s="135" t="s">
        <v>452</v>
      </c>
      <c r="L91" s="25" t="s">
        <v>27</v>
      </c>
      <c r="M91" s="13"/>
      <c r="N91" s="2" t="s">
        <v>22</v>
      </c>
      <c r="O91" s="11"/>
      <c r="P91" s="11"/>
      <c r="Q91" s="11"/>
      <c r="R91" s="11"/>
      <c r="S91" s="11"/>
    </row>
    <row r="92" spans="1:19" ht="29" x14ac:dyDescent="0.35">
      <c r="A92" s="17"/>
      <c r="B92" s="11"/>
      <c r="C92" s="22" t="s">
        <v>306</v>
      </c>
      <c r="D92" s="23" t="s">
        <v>307</v>
      </c>
      <c r="E92" s="112"/>
      <c r="F92" s="112"/>
      <c r="G92" s="20"/>
      <c r="H92" s="10" t="s">
        <v>453</v>
      </c>
      <c r="I92" s="11"/>
      <c r="J92" s="121"/>
      <c r="K92" s="135" t="s">
        <v>454</v>
      </c>
      <c r="L92" s="25" t="s">
        <v>27</v>
      </c>
      <c r="M92" s="13"/>
      <c r="N92" s="2" t="s">
        <v>22</v>
      </c>
      <c r="O92" s="11"/>
      <c r="P92" s="11"/>
      <c r="Q92" s="11"/>
      <c r="R92" s="11"/>
      <c r="S92" s="11"/>
    </row>
    <row r="93" spans="1:19" ht="29" x14ac:dyDescent="0.35">
      <c r="A93" s="17"/>
      <c r="B93" s="11"/>
      <c r="C93" s="22" t="s">
        <v>306</v>
      </c>
      <c r="D93" s="23" t="s">
        <v>307</v>
      </c>
      <c r="E93" s="112"/>
      <c r="F93" s="112"/>
      <c r="G93" s="20"/>
      <c r="H93" s="10" t="s">
        <v>455</v>
      </c>
      <c r="I93" s="11"/>
      <c r="J93" s="121"/>
      <c r="K93" s="217" t="s">
        <v>456</v>
      </c>
      <c r="L93" s="25" t="s">
        <v>27</v>
      </c>
      <c r="M93" s="13"/>
      <c r="N93" s="2" t="s">
        <v>77</v>
      </c>
      <c r="O93" s="11" t="s">
        <v>445</v>
      </c>
      <c r="P93" s="11"/>
      <c r="Q93" s="11"/>
      <c r="R93" s="11"/>
      <c r="S93" s="11"/>
    </row>
  </sheetData>
  <autoFilter ref="A1:S93" xr:uid="{1063DC32-6C94-4A49-BD01-6A8D1D56E0BE}"/>
  <mergeCells count="6">
    <mergeCell ref="I34:I36"/>
    <mergeCell ref="I39:I48"/>
    <mergeCell ref="I52:I53"/>
    <mergeCell ref="J2:J7"/>
    <mergeCell ref="J19:J22"/>
    <mergeCell ref="J26:J27"/>
  </mergeCells>
  <phoneticPr fontId="12" type="noConversion"/>
  <conditionalFormatting sqref="A4:B33 A55:B93">
    <cfRule type="expression" dxfId="36" priority="1" stopIfTrue="1">
      <formula>(#REF! = "Not First Step")</formula>
    </cfRule>
  </conditionalFormatting>
  <conditionalFormatting sqref="B2:B3">
    <cfRule type="expression" dxfId="35" priority="3" stopIfTrue="1">
      <formula>(#REF! = "Not First Step")</formula>
    </cfRule>
  </conditionalFormatting>
  <dataValidations count="2">
    <dataValidation type="list" allowBlank="1" showInputMessage="1" showErrorMessage="1" sqref="F1" xr:uid="{95403714-5621-4C5F-AC24-55D489024D20}">
      <formula1>Status</formula1>
    </dataValidation>
    <dataValidation type="list" allowBlank="1" showInputMessage="1" showErrorMessage="1" sqref="N2:N93" xr:uid="{7F5BE584-558E-4AD7-861C-D74978D0E78F}">
      <formula1>"Pass,Fail,Deferred,Not Valid,Not Applicable,In Progress,No Run"</formula1>
    </dataValidation>
  </dataValidations>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5833A-A3CE-4F4B-812E-4E5D6A0DAFF8}">
  <dimension ref="A1:S156"/>
  <sheetViews>
    <sheetView workbookViewId="0">
      <pane ySplit="1" topLeftCell="A2" activePane="bottomLeft" state="frozen"/>
      <selection pane="bottomLeft" activeCell="A2" sqref="A2"/>
    </sheetView>
  </sheetViews>
  <sheetFormatPr defaultRowHeight="14.5" x14ac:dyDescent="0.35"/>
  <cols>
    <col min="1" max="1" width="18.453125" customWidth="1"/>
    <col min="2" max="2" width="14.453125" customWidth="1"/>
    <col min="3" max="3" width="11.54296875" customWidth="1"/>
    <col min="4" max="4" width="9.453125" customWidth="1"/>
    <col min="5" max="5" width="13.453125" customWidth="1"/>
    <col min="6" max="6" width="10.453125" customWidth="1"/>
    <col min="7" max="7" width="14.54296875" customWidth="1"/>
    <col min="8" max="8" width="10.453125" customWidth="1"/>
    <col min="9" max="9" width="10.54296875" customWidth="1"/>
    <col min="10" max="10" width="24.54296875" customWidth="1"/>
    <col min="11" max="11" width="41.54296875" customWidth="1"/>
    <col min="12" max="12" width="26.54296875" customWidth="1"/>
    <col min="13" max="13" width="11.453125" customWidth="1"/>
    <col min="14" max="14" width="15.54296875" customWidth="1"/>
    <col min="19" max="19" width="18.54296875" customWidth="1"/>
  </cols>
  <sheetData>
    <row r="1" spans="1:19" ht="39" x14ac:dyDescent="0.35">
      <c r="A1" s="58" t="s">
        <v>0</v>
      </c>
      <c r="B1" s="58" t="s">
        <v>1</v>
      </c>
      <c r="C1" s="58" t="s">
        <v>2</v>
      </c>
      <c r="D1" s="58" t="s">
        <v>3</v>
      </c>
      <c r="E1" s="58" t="s">
        <v>4</v>
      </c>
      <c r="F1" s="58" t="s">
        <v>5</v>
      </c>
      <c r="G1" s="58" t="s">
        <v>6</v>
      </c>
      <c r="H1" s="59" t="s">
        <v>7</v>
      </c>
      <c r="I1" s="59" t="s">
        <v>457</v>
      </c>
      <c r="J1" s="59" t="s">
        <v>9</v>
      </c>
      <c r="K1" s="59" t="s">
        <v>10</v>
      </c>
      <c r="L1" s="60" t="s">
        <v>11</v>
      </c>
      <c r="M1" s="60" t="s">
        <v>12</v>
      </c>
      <c r="N1" s="59" t="s">
        <v>13</v>
      </c>
      <c r="O1" s="61" t="s">
        <v>14</v>
      </c>
      <c r="P1" s="62" t="s">
        <v>15</v>
      </c>
      <c r="Q1" s="62" t="s">
        <v>16</v>
      </c>
      <c r="R1" s="62" t="s">
        <v>17</v>
      </c>
      <c r="S1" s="62" t="s">
        <v>18</v>
      </c>
    </row>
    <row r="2" spans="1:19" ht="65" x14ac:dyDescent="0.35">
      <c r="A2" s="63" t="s">
        <v>458</v>
      </c>
      <c r="B2" s="64"/>
      <c r="C2" s="64"/>
      <c r="D2" s="65"/>
      <c r="E2" s="66"/>
      <c r="F2" s="64"/>
      <c r="G2" s="67"/>
      <c r="H2" s="68" t="s">
        <v>23</v>
      </c>
      <c r="I2" s="69"/>
      <c r="J2" s="70" t="s">
        <v>459</v>
      </c>
      <c r="K2" s="118" t="s">
        <v>460</v>
      </c>
      <c r="L2" s="71" t="s">
        <v>27</v>
      </c>
      <c r="M2" s="72"/>
      <c r="N2" s="2" t="s">
        <v>22</v>
      </c>
      <c r="O2" s="64"/>
      <c r="P2" s="64"/>
      <c r="Q2" s="73"/>
      <c r="R2" s="64"/>
      <c r="S2" s="64"/>
    </row>
    <row r="3" spans="1:19" ht="72.5" x14ac:dyDescent="0.35">
      <c r="A3" s="63"/>
      <c r="B3" s="64"/>
      <c r="C3" s="64"/>
      <c r="D3" s="65"/>
      <c r="E3" s="66"/>
      <c r="F3" s="64"/>
      <c r="G3" s="67"/>
      <c r="H3" s="68" t="s">
        <v>28</v>
      </c>
      <c r="I3" s="69"/>
      <c r="J3" s="70"/>
      <c r="K3" s="118" t="s">
        <v>461</v>
      </c>
      <c r="L3" s="71"/>
      <c r="M3" s="72"/>
      <c r="N3" s="2" t="s">
        <v>22</v>
      </c>
      <c r="O3" s="64"/>
      <c r="P3" s="64"/>
      <c r="Q3" s="73"/>
      <c r="R3" s="64"/>
      <c r="S3" s="64"/>
    </row>
    <row r="4" spans="1:19" ht="43.5" x14ac:dyDescent="0.35">
      <c r="A4" s="107"/>
      <c r="B4" s="64"/>
      <c r="C4" s="64"/>
      <c r="D4" s="65"/>
      <c r="E4" s="66"/>
      <c r="F4" s="64"/>
      <c r="G4" s="67"/>
      <c r="H4" s="68" t="s">
        <v>30</v>
      </c>
      <c r="I4" s="64"/>
      <c r="J4" s="70"/>
      <c r="K4" s="3" t="s">
        <v>462</v>
      </c>
      <c r="L4" s="71" t="s">
        <v>27</v>
      </c>
      <c r="M4" s="72"/>
      <c r="N4" s="2" t="s">
        <v>22</v>
      </c>
      <c r="O4" s="64"/>
      <c r="P4" s="64"/>
      <c r="Q4" s="73"/>
      <c r="R4" s="64"/>
      <c r="S4" s="64"/>
    </row>
    <row r="5" spans="1:19" ht="43.5" x14ac:dyDescent="0.35">
      <c r="A5" s="107"/>
      <c r="B5" s="64"/>
      <c r="C5" s="64"/>
      <c r="D5" s="65"/>
      <c r="E5" s="66"/>
      <c r="F5" s="64"/>
      <c r="G5" s="67"/>
      <c r="H5" s="68" t="s">
        <v>32</v>
      </c>
      <c r="I5" s="64"/>
      <c r="J5" s="70"/>
      <c r="K5" s="3" t="s">
        <v>463</v>
      </c>
      <c r="L5" s="71" t="s">
        <v>27</v>
      </c>
      <c r="M5" s="72"/>
      <c r="N5" s="2" t="s">
        <v>22</v>
      </c>
      <c r="O5" s="64"/>
      <c r="P5" s="64"/>
      <c r="Q5" s="73"/>
      <c r="R5" s="64"/>
      <c r="S5" s="64"/>
    </row>
    <row r="6" spans="1:19" ht="29" x14ac:dyDescent="0.35">
      <c r="A6" s="107"/>
      <c r="B6" s="64"/>
      <c r="C6" s="64"/>
      <c r="D6" s="65"/>
      <c r="E6" s="66"/>
      <c r="F6" s="64"/>
      <c r="G6" s="67"/>
      <c r="H6" s="68" t="s">
        <v>34</v>
      </c>
      <c r="I6" s="69"/>
      <c r="J6" s="70"/>
      <c r="K6" s="3" t="s">
        <v>464</v>
      </c>
      <c r="L6" s="71" t="s">
        <v>27</v>
      </c>
      <c r="M6" s="72"/>
      <c r="N6" s="2" t="s">
        <v>22</v>
      </c>
      <c r="O6" s="64"/>
      <c r="P6" s="64"/>
      <c r="Q6" s="73"/>
      <c r="R6" s="64"/>
      <c r="S6" s="64"/>
    </row>
    <row r="7" spans="1:19" ht="29" x14ac:dyDescent="0.35">
      <c r="A7" s="64"/>
      <c r="B7" s="64"/>
      <c r="C7" s="64"/>
      <c r="D7" s="65"/>
      <c r="E7" s="66"/>
      <c r="F7" s="64"/>
      <c r="G7" s="67"/>
      <c r="H7" s="68" t="s">
        <v>36</v>
      </c>
      <c r="I7" s="64"/>
      <c r="J7" s="70"/>
      <c r="K7" s="118" t="s">
        <v>465</v>
      </c>
      <c r="L7" s="71" t="s">
        <v>27</v>
      </c>
      <c r="M7" s="72"/>
      <c r="N7" s="2" t="s">
        <v>22</v>
      </c>
      <c r="O7" s="64"/>
      <c r="P7" s="64"/>
      <c r="Q7" s="73"/>
      <c r="R7" s="64"/>
      <c r="S7" s="64"/>
    </row>
    <row r="8" spans="1:19" ht="29" x14ac:dyDescent="0.35">
      <c r="A8" s="64"/>
      <c r="B8" s="64"/>
      <c r="C8" s="64"/>
      <c r="D8" s="65"/>
      <c r="E8" s="66"/>
      <c r="F8" s="64"/>
      <c r="G8" s="67"/>
      <c r="H8" s="68" t="s">
        <v>38</v>
      </c>
      <c r="I8" s="64"/>
      <c r="J8" s="70"/>
      <c r="K8" s="3" t="s">
        <v>466</v>
      </c>
      <c r="L8" s="71" t="s">
        <v>27</v>
      </c>
      <c r="M8" s="72"/>
      <c r="N8" s="2" t="s">
        <v>22</v>
      </c>
      <c r="O8" s="64"/>
      <c r="P8" s="64"/>
      <c r="Q8" s="73"/>
      <c r="R8" s="64"/>
      <c r="S8" s="64"/>
    </row>
    <row r="9" spans="1:19" ht="29" x14ac:dyDescent="0.35">
      <c r="A9" s="64"/>
      <c r="B9" s="64"/>
      <c r="C9" s="64"/>
      <c r="D9" s="65"/>
      <c r="E9" s="66"/>
      <c r="F9" s="64"/>
      <c r="G9" s="67"/>
      <c r="H9" s="68" t="s">
        <v>40</v>
      </c>
      <c r="I9" s="64" t="s">
        <v>467</v>
      </c>
      <c r="J9" s="70"/>
      <c r="K9" s="3" t="s">
        <v>468</v>
      </c>
      <c r="L9" s="71" t="s">
        <v>27</v>
      </c>
      <c r="M9" s="72"/>
      <c r="N9" s="2" t="s">
        <v>22</v>
      </c>
      <c r="O9" s="64"/>
      <c r="P9" s="64"/>
      <c r="Q9" s="73"/>
      <c r="R9" s="64"/>
      <c r="S9" s="64"/>
    </row>
    <row r="10" spans="1:19" ht="101.5" x14ac:dyDescent="0.35">
      <c r="A10" s="69" t="s">
        <v>469</v>
      </c>
      <c r="B10" s="64"/>
      <c r="C10" s="64"/>
      <c r="D10" s="65"/>
      <c r="E10" s="66"/>
      <c r="F10" s="64"/>
      <c r="G10" s="67"/>
      <c r="H10" s="68" t="s">
        <v>42</v>
      </c>
      <c r="I10" s="69"/>
      <c r="J10" s="70"/>
      <c r="K10" s="3" t="s">
        <v>470</v>
      </c>
      <c r="L10" s="71" t="s">
        <v>27</v>
      </c>
      <c r="M10" s="72"/>
      <c r="N10" s="2" t="s">
        <v>77</v>
      </c>
      <c r="O10" s="64"/>
      <c r="P10" s="64"/>
      <c r="Q10" s="73"/>
      <c r="R10" s="64"/>
      <c r="S10" s="64"/>
    </row>
    <row r="11" spans="1:19" ht="52" x14ac:dyDescent="0.35">
      <c r="A11" s="64"/>
      <c r="B11" s="64"/>
      <c r="C11" s="64"/>
      <c r="D11" s="65"/>
      <c r="E11" s="66"/>
      <c r="F11" s="64"/>
      <c r="G11" s="67"/>
      <c r="H11" s="68" t="s">
        <v>148</v>
      </c>
      <c r="I11" s="64"/>
      <c r="J11" s="76"/>
      <c r="K11" s="77" t="s">
        <v>471</v>
      </c>
      <c r="L11" s="71" t="s">
        <v>27</v>
      </c>
      <c r="M11" s="72"/>
      <c r="N11" s="2" t="s">
        <v>77</v>
      </c>
      <c r="O11" s="64"/>
      <c r="P11" s="64"/>
      <c r="Q11" s="73"/>
      <c r="R11" s="64"/>
      <c r="S11" s="64"/>
    </row>
    <row r="12" spans="1:19" ht="26" x14ac:dyDescent="0.35">
      <c r="A12" s="64"/>
      <c r="B12" s="64"/>
      <c r="C12" s="64"/>
      <c r="D12" s="65"/>
      <c r="E12" s="66"/>
      <c r="F12" s="64"/>
      <c r="G12" s="67"/>
      <c r="H12" s="68" t="s">
        <v>150</v>
      </c>
      <c r="I12" s="64" t="s">
        <v>472</v>
      </c>
      <c r="J12" s="76"/>
      <c r="K12" s="77" t="s">
        <v>473</v>
      </c>
      <c r="L12" s="71" t="s">
        <v>27</v>
      </c>
      <c r="M12" s="72"/>
      <c r="N12" s="2" t="s">
        <v>22</v>
      </c>
      <c r="O12" s="64"/>
      <c r="P12" s="64"/>
      <c r="Q12" s="73"/>
      <c r="R12" s="64"/>
      <c r="S12" s="64"/>
    </row>
    <row r="13" spans="1:19" ht="26" x14ac:dyDescent="0.35">
      <c r="A13" s="64"/>
      <c r="B13" s="64"/>
      <c r="C13" s="64"/>
      <c r="D13" s="65"/>
      <c r="E13" s="66"/>
      <c r="F13" s="64"/>
      <c r="G13" s="67"/>
      <c r="H13" s="68" t="s">
        <v>44</v>
      </c>
      <c r="I13" s="64" t="s">
        <v>474</v>
      </c>
      <c r="J13" s="76"/>
      <c r="K13" s="77" t="s">
        <v>475</v>
      </c>
      <c r="L13" s="71"/>
      <c r="M13" s="72"/>
      <c r="N13" s="2" t="s">
        <v>22</v>
      </c>
      <c r="O13" s="64"/>
      <c r="P13" s="64"/>
      <c r="Q13" s="73"/>
      <c r="R13" s="64"/>
      <c r="S13" s="64"/>
    </row>
    <row r="14" spans="1:19" ht="39" x14ac:dyDescent="0.35">
      <c r="A14" s="64"/>
      <c r="B14" s="64"/>
      <c r="C14" s="64"/>
      <c r="D14" s="65"/>
      <c r="E14" s="66"/>
      <c r="F14" s="64"/>
      <c r="G14" s="67"/>
      <c r="H14" s="68" t="s">
        <v>46</v>
      </c>
      <c r="I14" s="64" t="s">
        <v>476</v>
      </c>
      <c r="J14" s="76"/>
      <c r="K14" s="77" t="s">
        <v>477</v>
      </c>
      <c r="L14" s="71" t="s">
        <v>27</v>
      </c>
      <c r="M14" s="72"/>
      <c r="N14" s="2" t="s">
        <v>22</v>
      </c>
      <c r="O14" s="64"/>
      <c r="P14" s="64"/>
      <c r="Q14" s="73"/>
      <c r="R14" s="64"/>
      <c r="S14" s="64"/>
    </row>
    <row r="15" spans="1:19" ht="26" x14ac:dyDescent="0.35">
      <c r="A15" s="64"/>
      <c r="B15" s="64"/>
      <c r="C15" s="64"/>
      <c r="D15" s="65"/>
      <c r="E15" s="66"/>
      <c r="F15" s="64"/>
      <c r="G15" s="67"/>
      <c r="H15" s="68" t="s">
        <v>48</v>
      </c>
      <c r="I15" s="64"/>
      <c r="J15" s="76"/>
      <c r="K15" s="77" t="s">
        <v>478</v>
      </c>
      <c r="L15" s="71"/>
      <c r="M15" s="72"/>
      <c r="N15" s="2" t="s">
        <v>22</v>
      </c>
      <c r="O15" s="64"/>
      <c r="P15" s="64"/>
      <c r="Q15" s="73"/>
      <c r="R15" s="64"/>
      <c r="S15" s="64"/>
    </row>
    <row r="16" spans="1:19" ht="26" x14ac:dyDescent="0.35">
      <c r="A16" s="64"/>
      <c r="B16" s="64"/>
      <c r="C16" s="64"/>
      <c r="D16" s="65"/>
      <c r="E16" s="66"/>
      <c r="F16" s="64"/>
      <c r="G16" s="67"/>
      <c r="H16" s="68" t="s">
        <v>51</v>
      </c>
      <c r="I16" s="64" t="s">
        <v>476</v>
      </c>
      <c r="J16" s="76"/>
      <c r="K16" s="77" t="s">
        <v>479</v>
      </c>
      <c r="L16" s="71"/>
      <c r="M16" s="72"/>
      <c r="N16" s="2" t="s">
        <v>22</v>
      </c>
      <c r="O16" s="64"/>
      <c r="P16" s="64"/>
      <c r="Q16" s="73"/>
      <c r="R16" s="64"/>
      <c r="S16" s="64"/>
    </row>
    <row r="17" spans="1:19" ht="39" x14ac:dyDescent="0.35">
      <c r="A17" s="64"/>
      <c r="B17" s="64"/>
      <c r="C17" s="64"/>
      <c r="D17" s="65"/>
      <c r="E17" s="66"/>
      <c r="F17" s="64"/>
      <c r="G17" s="67"/>
      <c r="H17" s="68" t="s">
        <v>53</v>
      </c>
      <c r="I17" s="64" t="s">
        <v>480</v>
      </c>
      <c r="J17" s="76"/>
      <c r="K17" s="77" t="s">
        <v>481</v>
      </c>
      <c r="L17" s="71"/>
      <c r="M17" s="72"/>
      <c r="N17" s="2" t="s">
        <v>22</v>
      </c>
      <c r="O17" s="64"/>
      <c r="P17" s="64"/>
      <c r="Q17" s="73"/>
      <c r="R17" s="64"/>
      <c r="S17" s="64"/>
    </row>
    <row r="18" spans="1:19" ht="52" x14ac:dyDescent="0.35">
      <c r="A18" s="64"/>
      <c r="B18" s="64"/>
      <c r="C18" s="64"/>
      <c r="D18" s="65"/>
      <c r="E18" s="66"/>
      <c r="F18" s="64"/>
      <c r="G18" s="67"/>
      <c r="H18" s="68" t="s">
        <v>55</v>
      </c>
      <c r="I18" s="64" t="s">
        <v>482</v>
      </c>
      <c r="J18" s="76"/>
      <c r="K18" s="77" t="s">
        <v>483</v>
      </c>
      <c r="L18" s="71"/>
      <c r="M18" s="72"/>
      <c r="N18" s="2" t="s">
        <v>77</v>
      </c>
      <c r="O18" s="64"/>
      <c r="P18" s="64"/>
      <c r="Q18" s="73"/>
      <c r="R18" s="64"/>
      <c r="S18" s="64" t="s">
        <v>793</v>
      </c>
    </row>
    <row r="19" spans="1:19" ht="26" x14ac:dyDescent="0.35">
      <c r="A19" s="64"/>
      <c r="B19" s="64"/>
      <c r="C19" s="64"/>
      <c r="D19" s="65"/>
      <c r="E19" s="66"/>
      <c r="F19" s="64"/>
      <c r="G19" s="67"/>
      <c r="H19" s="68" t="s">
        <v>57</v>
      </c>
      <c r="I19" s="64" t="s">
        <v>484</v>
      </c>
      <c r="J19" s="76"/>
      <c r="K19" s="77" t="s">
        <v>485</v>
      </c>
      <c r="L19" s="71" t="s">
        <v>27</v>
      </c>
      <c r="M19" s="72"/>
      <c r="N19" s="2" t="s">
        <v>77</v>
      </c>
      <c r="O19" s="64"/>
      <c r="P19" s="64"/>
      <c r="Q19" s="73"/>
      <c r="R19" s="64"/>
      <c r="S19" s="64" t="s">
        <v>793</v>
      </c>
    </row>
    <row r="20" spans="1:19" ht="52" x14ac:dyDescent="0.35">
      <c r="A20" s="64"/>
      <c r="B20" s="64"/>
      <c r="C20" s="64"/>
      <c r="D20" s="65"/>
      <c r="E20" s="66"/>
      <c r="F20" s="64"/>
      <c r="G20" s="67"/>
      <c r="H20" s="68" t="s">
        <v>59</v>
      </c>
      <c r="I20" s="64" t="s">
        <v>484</v>
      </c>
      <c r="J20" s="76"/>
      <c r="K20" s="77" t="s">
        <v>486</v>
      </c>
      <c r="L20" s="71" t="s">
        <v>27</v>
      </c>
      <c r="M20" s="72"/>
      <c r="N20" s="2" t="s">
        <v>77</v>
      </c>
      <c r="O20" s="64"/>
      <c r="P20" s="64"/>
      <c r="Q20" s="73"/>
      <c r="R20" s="64"/>
      <c r="S20" s="64"/>
    </row>
    <row r="21" spans="1:19" x14ac:dyDescent="0.35">
      <c r="A21" s="84" t="s">
        <v>487</v>
      </c>
      <c r="B21" s="64"/>
      <c r="C21" s="64"/>
      <c r="D21" s="65"/>
      <c r="E21" s="66"/>
      <c r="F21" s="64"/>
      <c r="G21" s="67"/>
      <c r="H21" s="68" t="s">
        <v>61</v>
      </c>
      <c r="I21" s="18"/>
      <c r="J21" s="79"/>
      <c r="K21" s="67" t="s">
        <v>488</v>
      </c>
      <c r="L21" s="71" t="s">
        <v>27</v>
      </c>
      <c r="M21" s="19"/>
      <c r="N21" s="2" t="s">
        <v>22</v>
      </c>
      <c r="O21" s="64"/>
      <c r="P21" s="64"/>
      <c r="Q21" s="73"/>
      <c r="R21" s="64"/>
      <c r="S21" s="64">
        <v>45305</v>
      </c>
    </row>
    <row r="22" spans="1:19" x14ac:dyDescent="0.35">
      <c r="A22" s="64"/>
      <c r="B22" s="64"/>
      <c r="C22" s="64"/>
      <c r="D22" s="65"/>
      <c r="E22" s="66"/>
      <c r="F22" s="64"/>
      <c r="G22" s="67"/>
      <c r="H22" s="68" t="s">
        <v>161</v>
      </c>
      <c r="I22" s="64"/>
      <c r="J22" s="76"/>
      <c r="K22" s="67" t="s">
        <v>489</v>
      </c>
      <c r="L22" s="71" t="s">
        <v>27</v>
      </c>
      <c r="M22" s="72"/>
      <c r="N22" s="2" t="s">
        <v>22</v>
      </c>
      <c r="O22" s="64"/>
      <c r="P22" s="64"/>
      <c r="Q22" s="73"/>
      <c r="R22" s="64"/>
      <c r="S22" s="64" t="s">
        <v>490</v>
      </c>
    </row>
    <row r="23" spans="1:19" ht="29" x14ac:dyDescent="0.35">
      <c r="A23" s="78"/>
      <c r="B23" s="64"/>
      <c r="C23" s="64"/>
      <c r="D23" s="65"/>
      <c r="E23" s="66"/>
      <c r="F23" s="64"/>
      <c r="G23" s="67"/>
      <c r="H23" s="68" t="s">
        <v>63</v>
      </c>
      <c r="I23" s="18"/>
      <c r="J23" s="79"/>
      <c r="K23" s="106" t="s">
        <v>491</v>
      </c>
      <c r="L23" s="71"/>
      <c r="M23" s="72"/>
      <c r="N23" s="2" t="s">
        <v>22</v>
      </c>
      <c r="O23" s="64"/>
      <c r="P23" s="64"/>
      <c r="Q23" s="73"/>
      <c r="R23" s="64"/>
      <c r="S23" s="64"/>
    </row>
    <row r="24" spans="1:19" x14ac:dyDescent="0.35">
      <c r="A24" s="64"/>
      <c r="B24" s="64"/>
      <c r="C24" s="64"/>
      <c r="D24" s="65"/>
      <c r="E24" s="66"/>
      <c r="F24" s="64"/>
      <c r="G24" s="67"/>
      <c r="H24" s="68"/>
      <c r="I24" s="64"/>
      <c r="J24" s="76"/>
      <c r="K24" s="110" t="s">
        <v>492</v>
      </c>
      <c r="L24" s="71"/>
      <c r="M24" s="19"/>
      <c r="N24" s="2" t="s">
        <v>77</v>
      </c>
      <c r="O24" s="64"/>
      <c r="P24" s="64"/>
      <c r="Q24" s="64"/>
      <c r="R24" s="64"/>
      <c r="S24" s="64"/>
    </row>
    <row r="25" spans="1:19" x14ac:dyDescent="0.35">
      <c r="A25" s="64"/>
      <c r="B25" s="64"/>
      <c r="C25" s="64"/>
      <c r="D25" s="65"/>
      <c r="E25" s="66"/>
      <c r="F25" s="64"/>
      <c r="G25" s="67"/>
      <c r="H25" s="68"/>
      <c r="I25" s="64"/>
      <c r="J25" s="76"/>
      <c r="K25" s="67"/>
      <c r="L25" s="26"/>
      <c r="M25" s="19"/>
      <c r="N25" s="2"/>
      <c r="O25" s="64"/>
      <c r="P25" s="64"/>
      <c r="Q25" s="64"/>
      <c r="R25" s="64"/>
      <c r="S25" s="64"/>
    </row>
    <row r="26" spans="1:19" x14ac:dyDescent="0.35">
      <c r="A26" s="64"/>
      <c r="B26" s="64"/>
      <c r="C26" s="64"/>
      <c r="D26" s="65"/>
      <c r="E26" s="66"/>
      <c r="F26" s="64"/>
      <c r="G26" s="67"/>
      <c r="H26" s="68"/>
      <c r="I26" s="64"/>
      <c r="J26" s="76"/>
      <c r="K26" s="67"/>
      <c r="L26" s="26"/>
      <c r="M26" s="19"/>
      <c r="N26" s="2"/>
      <c r="O26" s="64"/>
      <c r="P26" s="64"/>
      <c r="Q26" s="64"/>
      <c r="R26" s="64"/>
      <c r="S26" s="64"/>
    </row>
    <row r="27" spans="1:19" x14ac:dyDescent="0.35">
      <c r="A27" s="64"/>
      <c r="B27" s="64"/>
      <c r="C27" s="64"/>
      <c r="D27" s="65"/>
      <c r="E27" s="66"/>
      <c r="F27" s="64"/>
      <c r="G27" s="67"/>
      <c r="H27" s="68"/>
      <c r="I27" s="64"/>
      <c r="J27" s="76"/>
      <c r="K27" s="67"/>
      <c r="L27" s="26"/>
      <c r="M27" s="19"/>
      <c r="N27" s="2"/>
      <c r="O27" s="64"/>
      <c r="P27" s="64"/>
      <c r="Q27" s="64"/>
      <c r="R27" s="64"/>
      <c r="S27" s="64"/>
    </row>
    <row r="28" spans="1:19" x14ac:dyDescent="0.35">
      <c r="A28" s="64"/>
      <c r="B28" s="64"/>
      <c r="C28" s="64"/>
      <c r="D28" s="65"/>
      <c r="E28" s="66"/>
      <c r="F28" s="64"/>
      <c r="G28" s="67"/>
      <c r="H28" s="68"/>
      <c r="I28" s="64"/>
      <c r="J28" s="76"/>
      <c r="K28" s="3"/>
      <c r="L28" s="26"/>
      <c r="M28" s="19"/>
      <c r="N28" s="2"/>
      <c r="O28" s="64"/>
      <c r="P28" s="64"/>
      <c r="Q28" s="64"/>
      <c r="R28" s="64"/>
      <c r="S28" s="64"/>
    </row>
    <row r="29" spans="1:19" x14ac:dyDescent="0.35">
      <c r="A29" s="64"/>
      <c r="B29" s="64"/>
      <c r="C29" s="64"/>
      <c r="D29" s="65"/>
      <c r="E29" s="66"/>
      <c r="F29" s="64"/>
      <c r="G29" s="67"/>
      <c r="H29" s="68"/>
      <c r="I29" s="64"/>
      <c r="J29" s="76"/>
      <c r="K29" s="77"/>
      <c r="L29" s="26"/>
      <c r="M29" s="72"/>
      <c r="N29" s="2"/>
      <c r="O29" s="64"/>
      <c r="P29" s="64"/>
      <c r="Q29" s="64"/>
      <c r="R29" s="64"/>
      <c r="S29" s="64"/>
    </row>
    <row r="30" spans="1:19" x14ac:dyDescent="0.35">
      <c r="A30" s="64"/>
      <c r="B30" s="64"/>
      <c r="C30" s="64"/>
      <c r="D30" s="65"/>
      <c r="E30" s="66"/>
      <c r="F30" s="64"/>
      <c r="G30" s="67"/>
      <c r="H30" s="68"/>
      <c r="I30" s="64"/>
      <c r="J30" s="76"/>
      <c r="K30" s="67"/>
      <c r="L30" s="26"/>
      <c r="M30" s="19"/>
      <c r="N30" s="2"/>
      <c r="O30" s="64"/>
      <c r="P30" s="64"/>
      <c r="Q30" s="64"/>
      <c r="R30" s="64"/>
      <c r="S30" s="64"/>
    </row>
    <row r="31" spans="1:19" x14ac:dyDescent="0.35">
      <c r="A31" s="78"/>
      <c r="B31" s="64"/>
      <c r="C31" s="64"/>
      <c r="D31" s="65"/>
      <c r="E31" s="66"/>
      <c r="F31" s="64"/>
      <c r="G31" s="67"/>
      <c r="H31" s="68"/>
      <c r="I31" s="64"/>
      <c r="J31" s="81"/>
      <c r="K31" s="4"/>
      <c r="L31" s="26"/>
      <c r="M31" s="19"/>
      <c r="N31" s="2"/>
      <c r="O31" s="64"/>
      <c r="P31" s="64"/>
      <c r="Q31" s="64"/>
      <c r="R31" s="64"/>
      <c r="S31" s="64"/>
    </row>
    <row r="32" spans="1:19" x14ac:dyDescent="0.35">
      <c r="A32" s="78"/>
      <c r="B32" s="64"/>
      <c r="C32" s="64"/>
      <c r="D32" s="65"/>
      <c r="E32" s="66"/>
      <c r="F32" s="64"/>
      <c r="G32" s="67"/>
      <c r="H32" s="68"/>
      <c r="I32" s="64"/>
      <c r="J32" s="76"/>
      <c r="K32" s="77"/>
      <c r="L32" s="26"/>
      <c r="M32" s="19"/>
      <c r="N32" s="2"/>
      <c r="O32" s="64"/>
      <c r="P32" s="64"/>
      <c r="Q32" s="64"/>
      <c r="R32" s="64"/>
      <c r="S32" s="64"/>
    </row>
    <row r="33" spans="1:19" x14ac:dyDescent="0.35">
      <c r="A33" s="78"/>
      <c r="B33" s="64"/>
      <c r="C33" s="64"/>
      <c r="D33" s="65"/>
      <c r="E33" s="66"/>
      <c r="F33" s="64"/>
      <c r="G33" s="67"/>
      <c r="H33" s="68"/>
      <c r="I33" s="64"/>
      <c r="J33" s="76"/>
      <c r="K33" s="77"/>
      <c r="L33" s="26"/>
      <c r="M33" s="19"/>
      <c r="N33" s="2"/>
      <c r="O33" s="64"/>
      <c r="P33" s="64"/>
      <c r="Q33" s="64"/>
      <c r="R33" s="64"/>
      <c r="S33" s="64"/>
    </row>
    <row r="34" spans="1:19" x14ac:dyDescent="0.35">
      <c r="A34" s="78"/>
      <c r="B34" s="64"/>
      <c r="C34" s="64"/>
      <c r="D34" s="65"/>
      <c r="E34" s="66"/>
      <c r="F34" s="64"/>
      <c r="G34" s="67"/>
      <c r="H34" s="68"/>
      <c r="I34" s="64"/>
      <c r="J34" s="76"/>
      <c r="K34" s="77"/>
      <c r="L34" s="26"/>
      <c r="M34" s="19"/>
      <c r="N34" s="2"/>
      <c r="O34" s="64"/>
      <c r="P34" s="64"/>
      <c r="Q34" s="64"/>
      <c r="R34" s="64"/>
      <c r="S34" s="64"/>
    </row>
    <row r="35" spans="1:19" x14ac:dyDescent="0.35">
      <c r="A35" s="78"/>
      <c r="B35" s="64"/>
      <c r="C35" s="64"/>
      <c r="D35" s="65"/>
      <c r="E35" s="66"/>
      <c r="F35" s="64"/>
      <c r="G35" s="67"/>
      <c r="H35" s="68"/>
      <c r="I35" s="64"/>
      <c r="J35" s="76"/>
      <c r="K35" s="77"/>
      <c r="L35" s="26"/>
      <c r="M35" s="19"/>
      <c r="N35" s="2"/>
      <c r="O35" s="64"/>
      <c r="P35" s="64"/>
      <c r="Q35" s="64"/>
      <c r="R35" s="64"/>
      <c r="S35" s="64"/>
    </row>
    <row r="36" spans="1:19" x14ac:dyDescent="0.35">
      <c r="A36" s="78"/>
      <c r="B36" s="64"/>
      <c r="C36" s="64"/>
      <c r="D36" s="65"/>
      <c r="E36" s="66"/>
      <c r="F36" s="64"/>
      <c r="G36" s="67"/>
      <c r="H36" s="68"/>
      <c r="I36" s="64"/>
      <c r="J36" s="76"/>
      <c r="K36" s="77"/>
      <c r="L36" s="26"/>
      <c r="M36" s="19"/>
      <c r="N36" s="2"/>
      <c r="O36" s="64"/>
      <c r="P36" s="64"/>
      <c r="Q36" s="64"/>
      <c r="R36" s="64"/>
      <c r="S36" s="64"/>
    </row>
    <row r="37" spans="1:19" x14ac:dyDescent="0.35">
      <c r="A37" s="78"/>
      <c r="B37" s="64"/>
      <c r="C37" s="64"/>
      <c r="D37" s="65"/>
      <c r="E37" s="66"/>
      <c r="F37" s="64"/>
      <c r="G37" s="67"/>
      <c r="H37" s="68"/>
      <c r="I37" s="64"/>
      <c r="J37" s="76"/>
      <c r="K37" s="77"/>
      <c r="L37" s="26"/>
      <c r="M37" s="19"/>
      <c r="N37" s="2"/>
      <c r="O37" s="64"/>
      <c r="P37" s="64"/>
      <c r="Q37" s="64"/>
      <c r="R37" s="64"/>
      <c r="S37" s="64"/>
    </row>
    <row r="38" spans="1:19" x14ac:dyDescent="0.35">
      <c r="A38" s="78"/>
      <c r="B38" s="64"/>
      <c r="C38" s="64"/>
      <c r="D38" s="65"/>
      <c r="E38" s="66"/>
      <c r="F38" s="64"/>
      <c r="G38" s="67"/>
      <c r="H38" s="68"/>
      <c r="I38" s="64"/>
      <c r="J38" s="76"/>
      <c r="K38" s="77"/>
      <c r="L38" s="26"/>
      <c r="M38" s="19"/>
      <c r="N38" s="2"/>
      <c r="O38" s="64"/>
      <c r="P38" s="64"/>
      <c r="Q38" s="64"/>
      <c r="R38" s="64"/>
      <c r="S38" s="64"/>
    </row>
    <row r="39" spans="1:19" x14ac:dyDescent="0.35">
      <c r="A39" s="69"/>
      <c r="B39" s="64"/>
      <c r="C39" s="64"/>
      <c r="D39" s="65"/>
      <c r="E39" s="66"/>
      <c r="F39" s="64"/>
      <c r="G39" s="67"/>
      <c r="H39" s="68"/>
      <c r="I39" s="69"/>
      <c r="J39" s="70"/>
      <c r="K39" s="3"/>
      <c r="L39" s="71"/>
      <c r="M39" s="72"/>
      <c r="N39" s="2"/>
      <c r="O39" s="64"/>
      <c r="P39" s="64"/>
      <c r="Q39" s="73"/>
      <c r="R39" s="64"/>
      <c r="S39" s="64"/>
    </row>
    <row r="40" spans="1:19" x14ac:dyDescent="0.35">
      <c r="A40" s="64"/>
      <c r="B40" s="64"/>
      <c r="C40" s="64"/>
      <c r="D40" s="65"/>
      <c r="E40" s="66"/>
      <c r="F40" s="64"/>
      <c r="G40" s="67"/>
      <c r="H40" s="68"/>
      <c r="I40" s="64"/>
      <c r="J40" s="76"/>
      <c r="K40" s="77"/>
      <c r="L40" s="71"/>
      <c r="M40" s="72"/>
      <c r="N40" s="2"/>
      <c r="O40" s="64"/>
      <c r="P40" s="64"/>
      <c r="Q40" s="73"/>
      <c r="R40" s="64"/>
      <c r="S40" s="64"/>
    </row>
    <row r="41" spans="1:19" x14ac:dyDescent="0.35">
      <c r="A41" s="64"/>
      <c r="B41" s="64"/>
      <c r="C41" s="64"/>
      <c r="D41" s="65"/>
      <c r="E41" s="66"/>
      <c r="F41" s="64"/>
      <c r="G41" s="67"/>
      <c r="H41" s="68"/>
      <c r="I41" s="64"/>
      <c r="J41" s="76"/>
      <c r="K41" s="77"/>
      <c r="L41" s="71"/>
      <c r="M41" s="72"/>
      <c r="N41" s="2"/>
      <c r="O41" s="64"/>
      <c r="P41" s="64"/>
      <c r="Q41" s="73"/>
      <c r="R41" s="64"/>
      <c r="S41" s="64"/>
    </row>
    <row r="42" spans="1:19" x14ac:dyDescent="0.35">
      <c r="A42" s="64"/>
      <c r="B42" s="64"/>
      <c r="C42" s="64"/>
      <c r="D42" s="65"/>
      <c r="E42" s="66"/>
      <c r="F42" s="64"/>
      <c r="G42" s="67"/>
      <c r="H42" s="68"/>
      <c r="I42" s="64"/>
      <c r="J42" s="76"/>
      <c r="K42" s="77"/>
      <c r="L42" s="71"/>
      <c r="M42" s="72"/>
      <c r="N42" s="2"/>
      <c r="O42" s="64"/>
      <c r="P42" s="64"/>
      <c r="Q42" s="73"/>
      <c r="R42" s="64"/>
      <c r="S42" s="64"/>
    </row>
    <row r="43" spans="1:19" x14ac:dyDescent="0.35">
      <c r="A43" s="78"/>
      <c r="B43" s="64"/>
      <c r="C43" s="64"/>
      <c r="D43" s="65"/>
      <c r="E43" s="66"/>
      <c r="F43" s="64"/>
      <c r="G43" s="67"/>
      <c r="H43" s="68"/>
      <c r="I43" s="18"/>
      <c r="J43" s="79"/>
      <c r="K43" s="67"/>
      <c r="L43" s="26"/>
      <c r="M43" s="19"/>
      <c r="N43" s="2"/>
      <c r="O43" s="64"/>
      <c r="P43" s="64"/>
      <c r="Q43" s="73"/>
      <c r="R43" s="64"/>
      <c r="S43" s="64"/>
    </row>
    <row r="44" spans="1:19" x14ac:dyDescent="0.35">
      <c r="A44" s="64"/>
      <c r="B44" s="64"/>
      <c r="C44" s="64"/>
      <c r="D44" s="65"/>
      <c r="E44" s="66"/>
      <c r="F44" s="64"/>
      <c r="G44" s="67"/>
      <c r="H44" s="68"/>
      <c r="I44" s="64"/>
      <c r="J44" s="76"/>
      <c r="K44" s="77"/>
      <c r="L44" s="71"/>
      <c r="M44" s="72"/>
      <c r="N44" s="2"/>
      <c r="O44" s="64"/>
      <c r="P44" s="64"/>
      <c r="Q44" s="73"/>
      <c r="R44" s="64"/>
      <c r="S44" s="64"/>
    </row>
    <row r="45" spans="1:19" x14ac:dyDescent="0.35">
      <c r="A45" s="78"/>
      <c r="B45" s="64"/>
      <c r="C45" s="64"/>
      <c r="D45" s="65"/>
      <c r="E45" s="66"/>
      <c r="F45" s="64"/>
      <c r="G45" s="67"/>
      <c r="H45" s="68"/>
      <c r="I45" s="18"/>
      <c r="J45" s="79"/>
      <c r="K45" s="67"/>
      <c r="L45" s="71"/>
      <c r="M45" s="72"/>
      <c r="N45" s="2"/>
      <c r="O45" s="64"/>
      <c r="P45" s="64"/>
      <c r="Q45" s="73"/>
      <c r="R45" s="64"/>
      <c r="S45" s="64"/>
    </row>
    <row r="46" spans="1:19" x14ac:dyDescent="0.35">
      <c r="A46" s="64"/>
      <c r="B46" s="64"/>
      <c r="C46" s="64"/>
      <c r="D46" s="65"/>
      <c r="E46" s="66"/>
      <c r="F46" s="64"/>
      <c r="G46" s="67"/>
      <c r="H46" s="68"/>
      <c r="I46" s="64"/>
      <c r="J46" s="76"/>
      <c r="K46" s="67"/>
      <c r="L46" s="26"/>
      <c r="M46" s="19"/>
      <c r="N46" s="2"/>
      <c r="O46" s="64"/>
      <c r="P46" s="64"/>
      <c r="Q46" s="64"/>
      <c r="R46" s="64"/>
      <c r="S46" s="64"/>
    </row>
    <row r="47" spans="1:19" x14ac:dyDescent="0.35">
      <c r="A47" s="64"/>
      <c r="B47" s="64"/>
      <c r="C47" s="64"/>
      <c r="D47" s="65"/>
      <c r="E47" s="66"/>
      <c r="F47" s="64"/>
      <c r="G47" s="67"/>
      <c r="H47" s="68"/>
      <c r="I47" s="64"/>
      <c r="J47" s="76"/>
      <c r="K47" s="67"/>
      <c r="L47" s="26"/>
      <c r="M47" s="19"/>
      <c r="N47" s="2"/>
      <c r="O47" s="64"/>
      <c r="P47" s="64"/>
      <c r="Q47" s="64"/>
      <c r="R47" s="64"/>
      <c r="S47" s="64"/>
    </row>
    <row r="48" spans="1:19" x14ac:dyDescent="0.35">
      <c r="A48" s="64"/>
      <c r="B48" s="64"/>
      <c r="C48" s="64"/>
      <c r="D48" s="65"/>
      <c r="E48" s="66"/>
      <c r="F48" s="64"/>
      <c r="G48" s="67"/>
      <c r="H48" s="68"/>
      <c r="I48" s="64"/>
      <c r="J48" s="76"/>
      <c r="K48" s="67"/>
      <c r="L48" s="26"/>
      <c r="M48" s="19"/>
      <c r="N48" s="2"/>
      <c r="O48" s="64"/>
      <c r="P48" s="64"/>
      <c r="Q48" s="64"/>
      <c r="R48" s="64"/>
      <c r="S48" s="64"/>
    </row>
    <row r="49" spans="1:19" x14ac:dyDescent="0.35">
      <c r="A49" s="64"/>
      <c r="B49" s="64"/>
      <c r="C49" s="64"/>
      <c r="D49" s="65"/>
      <c r="E49" s="66"/>
      <c r="F49" s="64"/>
      <c r="G49" s="67"/>
      <c r="H49" s="68"/>
      <c r="I49" s="64"/>
      <c r="J49" s="76"/>
      <c r="K49" s="67"/>
      <c r="L49" s="26"/>
      <c r="M49" s="19"/>
      <c r="N49" s="2"/>
      <c r="O49" s="64"/>
      <c r="P49" s="64"/>
      <c r="Q49" s="64"/>
      <c r="R49" s="64"/>
      <c r="S49" s="64"/>
    </row>
    <row r="50" spans="1:19" x14ac:dyDescent="0.35">
      <c r="A50" s="64"/>
      <c r="B50" s="64"/>
      <c r="C50" s="64"/>
      <c r="D50" s="65"/>
      <c r="E50" s="66"/>
      <c r="F50" s="64"/>
      <c r="G50" s="67"/>
      <c r="H50" s="68"/>
      <c r="I50" s="64"/>
      <c r="J50" s="76"/>
      <c r="K50" s="3"/>
      <c r="L50" s="26"/>
      <c r="M50" s="19"/>
      <c r="N50" s="2"/>
      <c r="O50" s="64"/>
      <c r="P50" s="64"/>
      <c r="Q50" s="64"/>
      <c r="R50" s="64"/>
      <c r="S50" s="64"/>
    </row>
    <row r="51" spans="1:19" x14ac:dyDescent="0.35">
      <c r="A51" s="64"/>
      <c r="B51" s="64"/>
      <c r="C51" s="64"/>
      <c r="D51" s="65"/>
      <c r="E51" s="66"/>
      <c r="F51" s="64"/>
      <c r="G51" s="67"/>
      <c r="H51" s="68"/>
      <c r="I51" s="64"/>
      <c r="J51" s="76"/>
      <c r="K51" s="77"/>
      <c r="L51" s="26"/>
      <c r="M51" s="72"/>
      <c r="N51" s="2"/>
      <c r="O51" s="64"/>
      <c r="P51" s="64"/>
      <c r="Q51" s="64"/>
      <c r="R51" s="64"/>
      <c r="S51" s="64"/>
    </row>
    <row r="52" spans="1:19" x14ac:dyDescent="0.35">
      <c r="A52" s="64"/>
      <c r="B52" s="64"/>
      <c r="C52" s="64"/>
      <c r="D52" s="65"/>
      <c r="E52" s="66"/>
      <c r="F52" s="64"/>
      <c r="G52" s="67"/>
      <c r="H52" s="68"/>
      <c r="I52" s="64"/>
      <c r="J52" s="76"/>
      <c r="K52" s="67"/>
      <c r="L52" s="26"/>
      <c r="M52" s="19"/>
      <c r="N52" s="2"/>
      <c r="O52" s="64"/>
      <c r="P52" s="64"/>
      <c r="Q52" s="64"/>
      <c r="R52" s="64"/>
      <c r="S52" s="64"/>
    </row>
    <row r="53" spans="1:19" x14ac:dyDescent="0.35">
      <c r="A53" s="78"/>
      <c r="B53" s="64"/>
      <c r="C53" s="64"/>
      <c r="D53" s="65"/>
      <c r="E53" s="66"/>
      <c r="F53" s="64"/>
      <c r="G53" s="67"/>
      <c r="H53" s="68"/>
      <c r="I53" s="64"/>
      <c r="J53" s="81"/>
      <c r="K53" s="4"/>
      <c r="L53" s="26"/>
      <c r="M53" s="19"/>
      <c r="N53" s="2"/>
      <c r="O53" s="64"/>
      <c r="P53" s="64"/>
      <c r="Q53" s="64"/>
      <c r="R53" s="64"/>
      <c r="S53" s="64"/>
    </row>
    <row r="54" spans="1:19" x14ac:dyDescent="0.35">
      <c r="A54" s="78"/>
      <c r="B54" s="64"/>
      <c r="C54" s="64"/>
      <c r="D54" s="65"/>
      <c r="E54" s="66"/>
      <c r="F54" s="64"/>
      <c r="G54" s="67"/>
      <c r="H54" s="68"/>
      <c r="I54" s="64"/>
      <c r="J54" s="76"/>
      <c r="K54" s="77"/>
      <c r="L54" s="26"/>
      <c r="M54" s="19"/>
      <c r="N54" s="2"/>
      <c r="O54" s="64"/>
      <c r="P54" s="64"/>
      <c r="Q54" s="64"/>
      <c r="R54" s="64"/>
      <c r="S54" s="64"/>
    </row>
    <row r="55" spans="1:19" x14ac:dyDescent="0.35">
      <c r="A55" s="78"/>
      <c r="B55" s="64"/>
      <c r="C55" s="64"/>
      <c r="D55" s="65"/>
      <c r="E55" s="66"/>
      <c r="F55" s="64"/>
      <c r="G55" s="67"/>
      <c r="H55" s="68"/>
      <c r="I55" s="64"/>
      <c r="J55" s="76"/>
      <c r="K55" s="77"/>
      <c r="L55" s="26"/>
      <c r="M55" s="19"/>
      <c r="N55" s="2"/>
      <c r="O55" s="64"/>
      <c r="P55" s="64"/>
      <c r="Q55" s="64"/>
      <c r="R55" s="64"/>
      <c r="S55" s="64"/>
    </row>
    <row r="56" spans="1:19" x14ac:dyDescent="0.35">
      <c r="A56" s="78"/>
      <c r="B56" s="64"/>
      <c r="C56" s="64"/>
      <c r="D56" s="65"/>
      <c r="E56" s="66"/>
      <c r="F56" s="64"/>
      <c r="G56" s="67"/>
      <c r="H56" s="68"/>
      <c r="I56" s="64"/>
      <c r="J56" s="76"/>
      <c r="K56" s="77"/>
      <c r="L56" s="26"/>
      <c r="M56" s="19"/>
      <c r="N56" s="2"/>
      <c r="O56" s="64"/>
      <c r="P56" s="64"/>
      <c r="Q56" s="64"/>
      <c r="R56" s="64"/>
      <c r="S56" s="64"/>
    </row>
    <row r="57" spans="1:19" x14ac:dyDescent="0.35">
      <c r="A57" s="78"/>
      <c r="B57" s="64"/>
      <c r="C57" s="64"/>
      <c r="D57" s="65"/>
      <c r="E57" s="66"/>
      <c r="F57" s="64"/>
      <c r="G57" s="67"/>
      <c r="H57" s="68"/>
      <c r="I57" s="64"/>
      <c r="J57" s="76"/>
      <c r="K57" s="77"/>
      <c r="L57" s="26"/>
      <c r="M57" s="19"/>
      <c r="N57" s="2"/>
      <c r="O57" s="64"/>
      <c r="P57" s="64"/>
      <c r="Q57" s="64"/>
      <c r="R57" s="64"/>
      <c r="S57" s="64"/>
    </row>
    <row r="58" spans="1:19" x14ac:dyDescent="0.35">
      <c r="A58" s="78"/>
      <c r="B58" s="64"/>
      <c r="C58" s="64"/>
      <c r="D58" s="65"/>
      <c r="E58" s="66"/>
      <c r="F58" s="64"/>
      <c r="G58" s="67"/>
      <c r="H58" s="68"/>
      <c r="I58" s="64"/>
      <c r="J58" s="76"/>
      <c r="K58" s="77"/>
      <c r="L58" s="26"/>
      <c r="M58" s="19"/>
      <c r="N58" s="2"/>
      <c r="O58" s="64"/>
      <c r="P58" s="64"/>
      <c r="Q58" s="64"/>
      <c r="R58" s="64"/>
      <c r="S58" s="64"/>
    </row>
    <row r="59" spans="1:19" x14ac:dyDescent="0.35">
      <c r="A59" s="78"/>
      <c r="B59" s="64"/>
      <c r="C59" s="64"/>
      <c r="D59" s="65"/>
      <c r="E59" s="66"/>
      <c r="F59" s="64"/>
      <c r="G59" s="67"/>
      <c r="H59" s="68"/>
      <c r="I59" s="64"/>
      <c r="J59" s="76"/>
      <c r="K59" s="77"/>
      <c r="L59" s="26"/>
      <c r="M59" s="19"/>
      <c r="N59" s="2"/>
      <c r="O59" s="64"/>
      <c r="P59" s="64"/>
      <c r="Q59" s="64"/>
      <c r="R59" s="64"/>
      <c r="S59" s="64"/>
    </row>
    <row r="60" spans="1:19" x14ac:dyDescent="0.35">
      <c r="A60" s="78"/>
      <c r="B60" s="64"/>
      <c r="C60" s="64"/>
      <c r="D60" s="65"/>
      <c r="E60" s="66"/>
      <c r="F60" s="64"/>
      <c r="G60" s="67"/>
      <c r="H60" s="68"/>
      <c r="I60" s="64"/>
      <c r="J60" s="76"/>
      <c r="K60" s="77"/>
      <c r="L60" s="26"/>
      <c r="M60" s="19"/>
      <c r="N60" s="2"/>
      <c r="O60" s="64"/>
      <c r="P60" s="64"/>
      <c r="Q60" s="64"/>
      <c r="R60" s="64"/>
      <c r="S60" s="64"/>
    </row>
    <row r="61" spans="1:19" x14ac:dyDescent="0.35">
      <c r="A61" s="69"/>
      <c r="B61" s="64"/>
      <c r="C61" s="64"/>
      <c r="D61" s="65"/>
      <c r="E61" s="66"/>
      <c r="F61" s="64"/>
      <c r="G61" s="67"/>
      <c r="H61" s="68"/>
      <c r="I61" s="69"/>
      <c r="J61" s="70"/>
      <c r="K61" s="3"/>
      <c r="L61" s="71"/>
      <c r="M61" s="72"/>
      <c r="N61" s="2"/>
      <c r="O61" s="64"/>
      <c r="P61" s="64"/>
      <c r="Q61" s="73"/>
      <c r="R61" s="64"/>
      <c r="S61" s="64"/>
    </row>
    <row r="62" spans="1:19" x14ac:dyDescent="0.35">
      <c r="A62" s="78"/>
      <c r="B62" s="64"/>
      <c r="C62" s="64"/>
      <c r="D62" s="65"/>
      <c r="E62" s="66"/>
      <c r="F62" s="64"/>
      <c r="G62" s="67"/>
      <c r="H62" s="68"/>
      <c r="I62" s="64"/>
      <c r="J62" s="76"/>
      <c r="K62" s="77"/>
      <c r="L62" s="26"/>
      <c r="M62" s="19"/>
      <c r="N62" s="2"/>
      <c r="O62" s="64"/>
      <c r="P62" s="64"/>
      <c r="Q62" s="64"/>
      <c r="R62" s="64"/>
      <c r="S62" s="64"/>
    </row>
    <row r="63" spans="1:19" x14ac:dyDescent="0.35">
      <c r="A63" s="78"/>
      <c r="B63" s="64"/>
      <c r="C63" s="64"/>
      <c r="D63" s="65"/>
      <c r="E63" s="66"/>
      <c r="F63" s="64"/>
      <c r="G63" s="67"/>
      <c r="H63" s="68"/>
      <c r="I63" s="64"/>
      <c r="J63" s="76"/>
      <c r="K63" s="77"/>
      <c r="L63" s="26"/>
      <c r="M63" s="105"/>
      <c r="N63" s="2"/>
      <c r="O63" s="64"/>
      <c r="P63" s="64"/>
      <c r="Q63" s="64"/>
      <c r="R63" s="64"/>
      <c r="S63" s="64"/>
    </row>
    <row r="64" spans="1:19" x14ac:dyDescent="0.35">
      <c r="A64" s="78"/>
      <c r="B64" s="64"/>
      <c r="C64" s="64"/>
      <c r="D64" s="65"/>
      <c r="E64" s="66"/>
      <c r="F64" s="64"/>
      <c r="G64" s="67"/>
      <c r="H64" s="68"/>
      <c r="I64" s="64"/>
      <c r="J64" s="76"/>
      <c r="K64" s="77"/>
      <c r="L64" s="26"/>
      <c r="M64" s="19"/>
      <c r="N64" s="2"/>
      <c r="O64" s="64"/>
      <c r="P64" s="64"/>
      <c r="Q64" s="64"/>
      <c r="R64" s="64"/>
      <c r="S64" s="64"/>
    </row>
    <row r="65" spans="1:19" x14ac:dyDescent="0.35">
      <c r="A65" s="78"/>
      <c r="B65" s="64"/>
      <c r="C65" s="64"/>
      <c r="D65" s="65"/>
      <c r="E65" s="66"/>
      <c r="F65" s="64"/>
      <c r="G65" s="67"/>
      <c r="H65" s="68"/>
      <c r="I65" s="64"/>
      <c r="J65" s="70"/>
      <c r="K65" s="3"/>
      <c r="L65" s="71"/>
      <c r="M65" s="72"/>
      <c r="N65" s="2"/>
      <c r="O65" s="64"/>
      <c r="P65" s="64"/>
      <c r="Q65" s="64"/>
      <c r="R65" s="64"/>
      <c r="S65" s="64"/>
    </row>
    <row r="66" spans="1:19" x14ac:dyDescent="0.35">
      <c r="A66" s="78"/>
      <c r="B66" s="64"/>
      <c r="C66" s="64"/>
      <c r="D66" s="65"/>
      <c r="E66" s="66"/>
      <c r="F66" s="64"/>
      <c r="G66" s="67"/>
      <c r="H66" s="68"/>
      <c r="I66" s="64"/>
      <c r="J66" s="93"/>
      <c r="K66" s="3"/>
      <c r="L66" s="71"/>
      <c r="M66" s="72"/>
      <c r="N66" s="2"/>
      <c r="O66" s="64"/>
      <c r="P66" s="64"/>
      <c r="Q66" s="64"/>
      <c r="R66" s="64"/>
      <c r="S66" s="64"/>
    </row>
    <row r="67" spans="1:19" x14ac:dyDescent="0.35">
      <c r="A67" s="78"/>
      <c r="B67" s="64"/>
      <c r="C67" s="64"/>
      <c r="D67" s="65"/>
      <c r="E67" s="66"/>
      <c r="F67" s="64"/>
      <c r="G67" s="67"/>
      <c r="H67" s="68"/>
      <c r="I67" s="64"/>
      <c r="J67" s="76"/>
      <c r="K67" s="3"/>
      <c r="L67" s="71"/>
      <c r="M67" s="72"/>
      <c r="N67" s="2"/>
      <c r="O67" s="64"/>
      <c r="P67" s="64"/>
      <c r="Q67" s="64"/>
      <c r="R67" s="64"/>
      <c r="S67" s="64"/>
    </row>
    <row r="68" spans="1:19" x14ac:dyDescent="0.35">
      <c r="A68" s="78"/>
      <c r="B68" s="64"/>
      <c r="C68" s="64"/>
      <c r="D68" s="65"/>
      <c r="E68" s="66"/>
      <c r="F68" s="64"/>
      <c r="G68" s="67"/>
      <c r="H68" s="68"/>
      <c r="I68" s="64"/>
      <c r="J68" s="76"/>
      <c r="K68" s="3"/>
      <c r="L68" s="71"/>
      <c r="M68" s="72"/>
      <c r="N68" s="2"/>
      <c r="O68" s="64"/>
      <c r="P68" s="64"/>
      <c r="Q68" s="64"/>
      <c r="R68" s="64"/>
      <c r="S68" s="64"/>
    </row>
    <row r="69" spans="1:19" x14ac:dyDescent="0.35">
      <c r="A69" s="78"/>
      <c r="B69" s="64"/>
      <c r="C69" s="64"/>
      <c r="D69" s="65"/>
      <c r="E69" s="66"/>
      <c r="F69" s="64"/>
      <c r="G69" s="67"/>
      <c r="H69" s="68"/>
      <c r="I69" s="64"/>
      <c r="J69" s="76"/>
      <c r="K69" s="3"/>
      <c r="L69" s="71"/>
      <c r="M69" s="72"/>
      <c r="N69" s="2"/>
      <c r="O69" s="64"/>
      <c r="P69" s="64"/>
      <c r="Q69" s="64"/>
      <c r="R69" s="64"/>
      <c r="S69" s="64"/>
    </row>
    <row r="70" spans="1:19" x14ac:dyDescent="0.35">
      <c r="A70" s="78"/>
      <c r="B70" s="64"/>
      <c r="C70" s="64"/>
      <c r="D70" s="65"/>
      <c r="E70" s="66"/>
      <c r="F70" s="64"/>
      <c r="G70" s="67"/>
      <c r="H70" s="68"/>
      <c r="I70" s="64"/>
      <c r="J70" s="76"/>
      <c r="K70" s="3"/>
      <c r="L70" s="71"/>
      <c r="M70" s="72"/>
      <c r="N70" s="2"/>
      <c r="O70" s="64"/>
      <c r="P70" s="64"/>
      <c r="Q70" s="64"/>
      <c r="R70" s="64"/>
      <c r="S70" s="64"/>
    </row>
    <row r="71" spans="1:19" x14ac:dyDescent="0.35">
      <c r="A71" s="78"/>
      <c r="B71" s="64"/>
      <c r="C71" s="64"/>
      <c r="D71" s="65"/>
      <c r="E71" s="66"/>
      <c r="F71" s="64"/>
      <c r="G71" s="67"/>
      <c r="H71" s="68"/>
      <c r="I71" s="64"/>
      <c r="J71" s="76"/>
      <c r="K71" s="3"/>
      <c r="L71" s="71"/>
      <c r="M71" s="72"/>
      <c r="N71" s="2"/>
      <c r="O71" s="64"/>
      <c r="P71" s="64"/>
      <c r="Q71" s="64"/>
      <c r="R71" s="64"/>
      <c r="S71" s="64"/>
    </row>
    <row r="72" spans="1:19" x14ac:dyDescent="0.35">
      <c r="A72" s="78"/>
      <c r="B72" s="64"/>
      <c r="C72" s="64"/>
      <c r="D72" s="65"/>
      <c r="E72" s="66"/>
      <c r="F72" s="64"/>
      <c r="G72" s="67"/>
      <c r="H72" s="68"/>
      <c r="I72" s="64"/>
      <c r="J72" s="76"/>
      <c r="K72" s="3"/>
      <c r="L72" s="71"/>
      <c r="M72" s="72"/>
      <c r="N72" s="2"/>
      <c r="O72" s="64"/>
      <c r="P72" s="64"/>
      <c r="Q72" s="64"/>
      <c r="R72" s="64"/>
      <c r="S72" s="64"/>
    </row>
    <row r="73" spans="1:19" x14ac:dyDescent="0.35">
      <c r="A73" s="78"/>
      <c r="B73" s="64"/>
      <c r="C73" s="64"/>
      <c r="D73" s="65"/>
      <c r="E73" s="66"/>
      <c r="F73" s="64"/>
      <c r="G73" s="67"/>
      <c r="H73" s="68"/>
      <c r="I73" s="64"/>
      <c r="J73" s="76"/>
      <c r="K73" s="3"/>
      <c r="L73" s="71"/>
      <c r="M73" s="72"/>
      <c r="N73" s="2"/>
      <c r="O73" s="64"/>
      <c r="P73" s="64"/>
      <c r="Q73" s="64"/>
      <c r="R73" s="64"/>
      <c r="S73" s="64"/>
    </row>
    <row r="74" spans="1:19" x14ac:dyDescent="0.35">
      <c r="A74" s="78"/>
      <c r="B74" s="64"/>
      <c r="C74" s="64"/>
      <c r="D74" s="65"/>
      <c r="E74" s="66"/>
      <c r="F74" s="64"/>
      <c r="G74" s="67"/>
      <c r="H74" s="68"/>
      <c r="I74" s="64"/>
      <c r="J74" s="76"/>
      <c r="K74" s="3"/>
      <c r="L74" s="71"/>
      <c r="M74" s="72"/>
      <c r="N74" s="2"/>
      <c r="O74" s="64"/>
      <c r="P74" s="64"/>
      <c r="Q74" s="64"/>
      <c r="R74" s="64"/>
      <c r="S74" s="64"/>
    </row>
    <row r="75" spans="1:19" x14ac:dyDescent="0.35">
      <c r="A75" s="78"/>
      <c r="B75" s="64"/>
      <c r="C75" s="64"/>
      <c r="D75" s="65"/>
      <c r="E75" s="66"/>
      <c r="F75" s="64"/>
      <c r="G75" s="67"/>
      <c r="H75" s="68"/>
      <c r="I75" s="64"/>
      <c r="J75" s="76"/>
      <c r="K75" s="3"/>
      <c r="L75" s="71"/>
      <c r="M75" s="72"/>
      <c r="N75" s="2"/>
      <c r="O75" s="64"/>
      <c r="P75" s="64"/>
      <c r="Q75" s="64"/>
      <c r="R75" s="64"/>
      <c r="S75" s="64"/>
    </row>
    <row r="76" spans="1:19" x14ac:dyDescent="0.35">
      <c r="A76" s="78"/>
      <c r="B76" s="64"/>
      <c r="C76" s="64"/>
      <c r="D76" s="65"/>
      <c r="E76" s="66"/>
      <c r="F76" s="64"/>
      <c r="G76" s="67"/>
      <c r="H76" s="68"/>
      <c r="I76" s="64"/>
      <c r="J76" s="76"/>
      <c r="K76" s="3"/>
      <c r="L76" s="71"/>
      <c r="M76" s="72"/>
      <c r="N76" s="2"/>
      <c r="O76" s="64"/>
      <c r="P76" s="64"/>
      <c r="Q76" s="64"/>
      <c r="R76" s="64"/>
      <c r="S76" s="64"/>
    </row>
    <row r="77" spans="1:19" x14ac:dyDescent="0.35">
      <c r="A77" s="78"/>
      <c r="B77" s="64"/>
      <c r="C77" s="64"/>
      <c r="D77" s="65"/>
      <c r="E77" s="66"/>
      <c r="F77" s="64"/>
      <c r="G77" s="67"/>
      <c r="H77" s="68"/>
      <c r="I77" s="64"/>
      <c r="J77" s="70"/>
      <c r="K77" s="3"/>
      <c r="L77" s="71"/>
      <c r="M77" s="72"/>
      <c r="N77" s="2"/>
      <c r="O77" s="64"/>
      <c r="P77" s="64"/>
      <c r="Q77" s="64"/>
      <c r="R77" s="64"/>
      <c r="S77" s="64"/>
    </row>
    <row r="78" spans="1:19" x14ac:dyDescent="0.35">
      <c r="A78" s="69"/>
      <c r="B78" s="64"/>
      <c r="C78" s="64"/>
      <c r="D78" s="65"/>
      <c r="E78" s="66"/>
      <c r="F78" s="64"/>
      <c r="G78" s="67"/>
      <c r="H78" s="68"/>
      <c r="I78" s="69"/>
      <c r="J78" s="70"/>
      <c r="K78" s="3"/>
      <c r="L78" s="71"/>
      <c r="M78" s="72"/>
      <c r="N78" s="2"/>
      <c r="O78" s="64"/>
      <c r="P78" s="64"/>
      <c r="Q78" s="73"/>
      <c r="R78" s="64"/>
      <c r="S78" s="64"/>
    </row>
    <row r="79" spans="1:19" x14ac:dyDescent="0.35">
      <c r="A79" s="78"/>
      <c r="B79" s="64"/>
      <c r="C79" s="64"/>
      <c r="D79" s="65"/>
      <c r="E79" s="66"/>
      <c r="F79" s="64"/>
      <c r="G79" s="67"/>
      <c r="H79" s="68"/>
      <c r="I79" s="64"/>
      <c r="J79" s="76"/>
      <c r="K79" s="3"/>
      <c r="L79" s="71"/>
      <c r="M79" s="72"/>
      <c r="N79" s="2"/>
      <c r="O79" s="64"/>
      <c r="P79" s="64"/>
      <c r="Q79" s="64"/>
      <c r="R79" s="64"/>
      <c r="S79" s="64"/>
    </row>
    <row r="80" spans="1:19" x14ac:dyDescent="0.35">
      <c r="A80" s="78"/>
      <c r="B80" s="64"/>
      <c r="C80" s="64"/>
      <c r="D80" s="65"/>
      <c r="E80" s="66"/>
      <c r="F80" s="64"/>
      <c r="G80" s="67"/>
      <c r="H80" s="68"/>
      <c r="I80" s="64"/>
      <c r="J80" s="76"/>
      <c r="K80" s="3"/>
      <c r="L80" s="71"/>
      <c r="M80" s="72"/>
      <c r="N80" s="2"/>
      <c r="O80" s="64"/>
      <c r="P80" s="64"/>
      <c r="Q80" s="64"/>
      <c r="R80" s="64"/>
      <c r="S80" s="64"/>
    </row>
    <row r="81" spans="1:19" x14ac:dyDescent="0.35">
      <c r="A81" s="78"/>
      <c r="B81" s="64"/>
      <c r="C81" s="64"/>
      <c r="D81" s="65"/>
      <c r="E81" s="66"/>
      <c r="F81" s="64"/>
      <c r="G81" s="67"/>
      <c r="H81" s="68"/>
      <c r="I81" s="64"/>
      <c r="J81" s="76"/>
      <c r="K81" s="3"/>
      <c r="L81" s="71"/>
      <c r="M81" s="72"/>
      <c r="N81" s="2"/>
      <c r="O81" s="64"/>
      <c r="P81" s="64"/>
      <c r="Q81" s="64"/>
      <c r="R81" s="64"/>
      <c r="S81" s="64"/>
    </row>
    <row r="82" spans="1:19" x14ac:dyDescent="0.35">
      <c r="A82" s="70"/>
      <c r="B82" s="64"/>
      <c r="C82" s="64"/>
      <c r="D82" s="65"/>
      <c r="E82" s="66"/>
      <c r="F82" s="64"/>
      <c r="G82" s="67"/>
      <c r="H82" s="68"/>
      <c r="I82" s="69"/>
      <c r="J82" s="94"/>
      <c r="K82" s="93"/>
      <c r="L82" s="71"/>
      <c r="M82" s="72"/>
      <c r="N82" s="2"/>
      <c r="O82" s="64"/>
      <c r="P82" s="64"/>
      <c r="Q82" s="64"/>
      <c r="R82" s="64"/>
      <c r="S82" s="64"/>
    </row>
    <row r="83" spans="1:19" x14ac:dyDescent="0.35">
      <c r="A83" s="78"/>
      <c r="B83" s="64"/>
      <c r="C83" s="64"/>
      <c r="D83" s="65"/>
      <c r="E83" s="66"/>
      <c r="F83" s="64"/>
      <c r="G83" s="67"/>
      <c r="H83" s="68"/>
      <c r="I83" s="64"/>
      <c r="J83" s="18"/>
      <c r="K83" s="93"/>
      <c r="L83" s="71"/>
      <c r="M83" s="72"/>
      <c r="N83" s="2"/>
      <c r="O83" s="64"/>
      <c r="P83" s="64"/>
      <c r="Q83" s="64"/>
      <c r="R83" s="64"/>
      <c r="S83" s="64"/>
    </row>
    <row r="84" spans="1:19" x14ac:dyDescent="0.35">
      <c r="A84" s="78"/>
      <c r="B84" s="64"/>
      <c r="C84" s="64"/>
      <c r="D84" s="65"/>
      <c r="E84" s="66"/>
      <c r="F84" s="64"/>
      <c r="G84" s="67"/>
      <c r="H84" s="68"/>
      <c r="I84" s="64"/>
      <c r="J84" s="18"/>
      <c r="K84" s="93"/>
      <c r="L84" s="71"/>
      <c r="M84" s="72"/>
      <c r="N84" s="2"/>
      <c r="O84" s="64"/>
      <c r="P84" s="64"/>
      <c r="Q84" s="64"/>
      <c r="R84" s="64"/>
      <c r="S84" s="64"/>
    </row>
    <row r="85" spans="1:19" x14ac:dyDescent="0.35">
      <c r="A85" s="78"/>
      <c r="B85" s="64"/>
      <c r="C85" s="64"/>
      <c r="D85" s="65"/>
      <c r="E85" s="66"/>
      <c r="F85" s="64"/>
      <c r="G85" s="67"/>
      <c r="H85" s="68"/>
      <c r="I85" s="64"/>
      <c r="J85" s="18"/>
      <c r="K85" s="93"/>
      <c r="L85" s="71"/>
      <c r="M85" s="72"/>
      <c r="N85" s="2"/>
      <c r="O85" s="64"/>
      <c r="P85" s="64"/>
      <c r="Q85" s="64"/>
      <c r="R85" s="64"/>
      <c r="S85" s="64"/>
    </row>
    <row r="86" spans="1:19" x14ac:dyDescent="0.35">
      <c r="A86" s="78"/>
      <c r="B86" s="64"/>
      <c r="C86" s="64"/>
      <c r="D86" s="65"/>
      <c r="E86" s="66"/>
      <c r="F86" s="64"/>
      <c r="G86" s="67"/>
      <c r="H86" s="68"/>
      <c r="I86" s="64"/>
      <c r="J86" s="18"/>
      <c r="K86" s="93"/>
      <c r="L86" s="71"/>
      <c r="M86" s="72"/>
      <c r="N86" s="2"/>
      <c r="O86" s="64"/>
      <c r="P86" s="64"/>
      <c r="Q86" s="64"/>
      <c r="R86" s="64"/>
      <c r="S86" s="64"/>
    </row>
    <row r="87" spans="1:19" x14ac:dyDescent="0.35">
      <c r="A87" s="78"/>
      <c r="B87" s="64"/>
      <c r="C87" s="64"/>
      <c r="D87" s="65"/>
      <c r="E87" s="66"/>
      <c r="F87" s="64"/>
      <c r="G87" s="67"/>
      <c r="H87" s="68"/>
      <c r="I87" s="64"/>
      <c r="J87" s="18"/>
      <c r="K87" s="18"/>
      <c r="L87" s="71"/>
      <c r="M87" s="72"/>
      <c r="N87" s="2"/>
      <c r="O87" s="64"/>
      <c r="P87" s="64"/>
      <c r="Q87" s="64"/>
      <c r="R87" s="64"/>
      <c r="S87" s="64"/>
    </row>
    <row r="88" spans="1:19" x14ac:dyDescent="0.35">
      <c r="A88" s="78"/>
      <c r="B88" s="64"/>
      <c r="C88" s="64"/>
      <c r="D88" s="65"/>
      <c r="E88" s="66"/>
      <c r="F88" s="64"/>
      <c r="G88" s="67"/>
      <c r="H88" s="68"/>
      <c r="I88" s="64"/>
      <c r="J88" s="18"/>
      <c r="K88" s="18"/>
      <c r="L88" s="71"/>
      <c r="M88" s="72"/>
      <c r="N88" s="2"/>
      <c r="O88" s="64"/>
      <c r="P88" s="64"/>
      <c r="Q88" s="64"/>
      <c r="R88" s="64"/>
      <c r="S88" s="64"/>
    </row>
    <row r="89" spans="1:19" x14ac:dyDescent="0.35">
      <c r="A89" s="70"/>
      <c r="B89" s="2"/>
      <c r="C89" s="2"/>
      <c r="D89" s="65"/>
      <c r="E89" s="66"/>
      <c r="F89" s="2"/>
      <c r="G89" s="67"/>
      <c r="H89" s="68"/>
      <c r="I89" s="69"/>
      <c r="J89" s="83"/>
      <c r="K89" s="3"/>
      <c r="L89" s="26"/>
      <c r="M89" s="2"/>
      <c r="N89" s="2"/>
      <c r="O89" s="2"/>
      <c r="P89" s="2"/>
      <c r="Q89" s="2"/>
      <c r="R89" s="2"/>
      <c r="S89" s="2"/>
    </row>
    <row r="90" spans="1:19" x14ac:dyDescent="0.35">
      <c r="A90" s="2"/>
      <c r="B90" s="2"/>
      <c r="C90" s="2"/>
      <c r="D90" s="65"/>
      <c r="E90" s="66"/>
      <c r="F90" s="2"/>
      <c r="G90" s="67"/>
      <c r="H90" s="68"/>
      <c r="I90" s="2"/>
      <c r="J90" s="85"/>
      <c r="K90" s="93"/>
      <c r="L90" s="26"/>
      <c r="M90" s="2"/>
      <c r="N90" s="2"/>
      <c r="O90" s="2"/>
      <c r="P90" s="2"/>
      <c r="Q90" s="2"/>
      <c r="R90" s="2"/>
      <c r="S90" s="2"/>
    </row>
    <row r="91" spans="1:19" ht="15.5" x14ac:dyDescent="0.35">
      <c r="A91" s="2"/>
      <c r="B91" s="2"/>
      <c r="C91" s="2"/>
      <c r="D91" s="65"/>
      <c r="E91" s="66"/>
      <c r="F91" s="2"/>
      <c r="G91" s="67"/>
      <c r="H91" s="68"/>
      <c r="I91" s="2"/>
      <c r="J91" s="95"/>
      <c r="K91" s="67"/>
      <c r="L91" s="26"/>
      <c r="M91" s="2"/>
      <c r="N91" s="2"/>
      <c r="O91" s="2"/>
      <c r="P91" s="2"/>
      <c r="Q91" s="2"/>
      <c r="R91" s="2"/>
      <c r="S91" s="2"/>
    </row>
    <row r="92" spans="1:19" ht="15.5" x14ac:dyDescent="0.35">
      <c r="A92" s="2"/>
      <c r="B92" s="2"/>
      <c r="C92" s="2"/>
      <c r="D92" s="65"/>
      <c r="E92" s="66"/>
      <c r="F92" s="2"/>
      <c r="G92" s="67"/>
      <c r="H92" s="68"/>
      <c r="I92" s="2"/>
      <c r="J92" s="95"/>
      <c r="K92" s="64"/>
      <c r="L92" s="26"/>
      <c r="M92" s="2"/>
      <c r="N92" s="2"/>
      <c r="O92" s="2"/>
      <c r="P92" s="2"/>
      <c r="Q92" s="2"/>
      <c r="R92" s="2"/>
      <c r="S92" s="2"/>
    </row>
    <row r="93" spans="1:19" ht="15.5" x14ac:dyDescent="0.35">
      <c r="A93" s="2"/>
      <c r="B93" s="2"/>
      <c r="C93" s="2"/>
      <c r="D93" s="65"/>
      <c r="E93" s="66"/>
      <c r="F93" s="2"/>
      <c r="G93" s="67"/>
      <c r="H93" s="68"/>
      <c r="I93" s="2"/>
      <c r="J93" s="95"/>
      <c r="K93" s="64"/>
      <c r="L93" s="26"/>
      <c r="M93" s="2"/>
      <c r="N93" s="2"/>
      <c r="O93" s="2"/>
      <c r="P93" s="2"/>
      <c r="Q93" s="2"/>
      <c r="R93" s="2"/>
      <c r="S93" s="2"/>
    </row>
    <row r="94" spans="1:19" ht="15.5" x14ac:dyDescent="0.35">
      <c r="A94" s="2"/>
      <c r="B94" s="2"/>
      <c r="C94" s="2"/>
      <c r="D94" s="65"/>
      <c r="E94" s="66"/>
      <c r="F94" s="2"/>
      <c r="G94" s="67"/>
      <c r="H94" s="68"/>
      <c r="I94" s="2"/>
      <c r="J94" s="95"/>
      <c r="K94" s="64"/>
      <c r="L94" s="26"/>
      <c r="M94" s="2"/>
      <c r="N94" s="2"/>
      <c r="O94" s="2"/>
      <c r="P94" s="2"/>
      <c r="Q94" s="2"/>
      <c r="R94" s="2"/>
      <c r="S94" s="2"/>
    </row>
    <row r="95" spans="1:19" ht="15.5" x14ac:dyDescent="0.35">
      <c r="A95" s="2"/>
      <c r="B95" s="2"/>
      <c r="C95" s="2"/>
      <c r="D95" s="65"/>
      <c r="E95" s="66"/>
      <c r="F95" s="2"/>
      <c r="G95" s="67"/>
      <c r="H95" s="68"/>
      <c r="I95" s="2"/>
      <c r="J95" s="95"/>
      <c r="K95" s="67"/>
      <c r="L95" s="26"/>
      <c r="M95" s="2"/>
      <c r="N95" s="2"/>
      <c r="O95" s="2"/>
      <c r="P95" s="2"/>
      <c r="Q95" s="2"/>
      <c r="R95" s="2"/>
      <c r="S95" s="2"/>
    </row>
    <row r="96" spans="1:19" x14ac:dyDescent="0.35">
      <c r="A96" s="2"/>
      <c r="B96" s="2"/>
      <c r="C96" s="2"/>
      <c r="D96" s="65"/>
      <c r="E96" s="66"/>
      <c r="F96" s="2"/>
      <c r="G96" s="67"/>
      <c r="H96" s="68"/>
      <c r="I96" s="2"/>
      <c r="J96" s="67"/>
      <c r="K96" s="85"/>
      <c r="L96" s="26"/>
      <c r="M96" s="2"/>
      <c r="N96" s="2"/>
      <c r="O96" s="2"/>
      <c r="P96" s="2"/>
      <c r="Q96" s="2"/>
      <c r="R96" s="2"/>
      <c r="S96" s="2"/>
    </row>
    <row r="97" spans="1:19" x14ac:dyDescent="0.35">
      <c r="A97" s="1"/>
      <c r="B97" s="2"/>
      <c r="C97" s="2"/>
      <c r="D97" s="65"/>
      <c r="E97" s="66"/>
      <c r="F97" s="2"/>
      <c r="G97" s="67"/>
      <c r="H97" s="68"/>
      <c r="I97" s="2"/>
      <c r="J97" s="4"/>
      <c r="K97" s="64"/>
      <c r="L97" s="26"/>
      <c r="M97" s="2"/>
      <c r="N97" s="2"/>
      <c r="O97" s="2"/>
      <c r="P97" s="2"/>
      <c r="Q97" s="2"/>
      <c r="R97" s="2"/>
      <c r="S97" s="2"/>
    </row>
    <row r="98" spans="1:19" x14ac:dyDescent="0.35">
      <c r="A98" s="69"/>
      <c r="B98" s="64"/>
      <c r="C98" s="64"/>
      <c r="D98" s="65"/>
      <c r="E98" s="66"/>
      <c r="F98" s="64"/>
      <c r="G98" s="67"/>
      <c r="H98" s="68"/>
      <c r="I98" s="69"/>
      <c r="J98" s="70"/>
      <c r="K98" s="3"/>
      <c r="L98" s="71"/>
      <c r="M98" s="72"/>
      <c r="N98" s="2"/>
      <c r="O98" s="64"/>
      <c r="P98" s="64"/>
      <c r="Q98" s="73"/>
      <c r="R98" s="64"/>
      <c r="S98" s="64"/>
    </row>
    <row r="99" spans="1:19" x14ac:dyDescent="0.35">
      <c r="A99" s="64"/>
      <c r="B99" s="64"/>
      <c r="C99" s="64"/>
      <c r="D99" s="65"/>
      <c r="E99" s="66"/>
      <c r="F99" s="64"/>
      <c r="G99" s="67"/>
      <c r="H99" s="68"/>
      <c r="I99" s="64"/>
      <c r="J99" s="76"/>
      <c r="K99" s="77"/>
      <c r="L99" s="71"/>
      <c r="M99" s="72"/>
      <c r="N99" s="2"/>
      <c r="O99" s="64"/>
      <c r="P99" s="64"/>
      <c r="Q99" s="73"/>
      <c r="R99" s="64"/>
      <c r="S99" s="64"/>
    </row>
    <row r="100" spans="1:19" x14ac:dyDescent="0.35">
      <c r="A100" s="64"/>
      <c r="B100" s="64"/>
      <c r="C100" s="64"/>
      <c r="D100" s="65"/>
      <c r="E100" s="66"/>
      <c r="F100" s="64"/>
      <c r="G100" s="67"/>
      <c r="H100" s="68"/>
      <c r="I100" s="64"/>
      <c r="J100" s="76"/>
      <c r="K100" s="77"/>
      <c r="L100" s="71"/>
      <c r="M100" s="72"/>
      <c r="N100" s="2"/>
      <c r="O100" s="64"/>
      <c r="P100" s="64"/>
      <c r="Q100" s="73"/>
      <c r="R100" s="64"/>
      <c r="S100" s="64"/>
    </row>
    <row r="101" spans="1:19" x14ac:dyDescent="0.35">
      <c r="A101" s="64"/>
      <c r="B101" s="64"/>
      <c r="C101" s="64"/>
      <c r="D101" s="65"/>
      <c r="E101" s="66"/>
      <c r="F101" s="64"/>
      <c r="G101" s="67"/>
      <c r="H101" s="68"/>
      <c r="I101" s="64"/>
      <c r="J101" s="76"/>
      <c r="K101" s="77"/>
      <c r="L101" s="71"/>
      <c r="M101" s="72"/>
      <c r="N101" s="2"/>
      <c r="O101" s="64"/>
      <c r="P101" s="64"/>
      <c r="Q101" s="73"/>
      <c r="R101" s="64"/>
      <c r="S101" s="64"/>
    </row>
    <row r="102" spans="1:19" x14ac:dyDescent="0.35">
      <c r="A102" s="78"/>
      <c r="B102" s="64"/>
      <c r="C102" s="64"/>
      <c r="D102" s="65"/>
      <c r="E102" s="66"/>
      <c r="F102" s="64"/>
      <c r="G102" s="67"/>
      <c r="H102" s="68"/>
      <c r="I102" s="18"/>
      <c r="J102" s="79"/>
      <c r="K102" s="67"/>
      <c r="L102" s="26"/>
      <c r="M102" s="19"/>
      <c r="N102" s="2"/>
      <c r="O102" s="64"/>
      <c r="P102" s="64"/>
      <c r="Q102" s="73"/>
      <c r="R102" s="64"/>
      <c r="S102" s="64"/>
    </row>
    <row r="103" spans="1:19" x14ac:dyDescent="0.35">
      <c r="A103" s="64"/>
      <c r="B103" s="64"/>
      <c r="C103" s="64"/>
      <c r="D103" s="65"/>
      <c r="E103" s="66"/>
      <c r="F103" s="64"/>
      <c r="G103" s="67"/>
      <c r="H103" s="68"/>
      <c r="I103" s="64"/>
      <c r="J103" s="76"/>
      <c r="K103" s="77"/>
      <c r="L103" s="71"/>
      <c r="M103" s="72"/>
      <c r="N103" s="2"/>
      <c r="O103" s="64"/>
      <c r="P103" s="64"/>
      <c r="Q103" s="73"/>
      <c r="R103" s="64"/>
      <c r="S103" s="64"/>
    </row>
    <row r="104" spans="1:19" x14ac:dyDescent="0.35">
      <c r="A104" s="78"/>
      <c r="B104" s="64"/>
      <c r="C104" s="64"/>
      <c r="D104" s="65"/>
      <c r="E104" s="66"/>
      <c r="F104" s="64"/>
      <c r="G104" s="67"/>
      <c r="H104" s="68"/>
      <c r="I104" s="18"/>
      <c r="J104" s="79"/>
      <c r="K104" s="67"/>
      <c r="L104" s="71"/>
      <c r="M104" s="72"/>
      <c r="N104" s="2"/>
      <c r="O104" s="64"/>
      <c r="P104" s="64"/>
      <c r="Q104" s="73"/>
      <c r="R104" s="64"/>
      <c r="S104" s="64"/>
    </row>
    <row r="105" spans="1:19" x14ac:dyDescent="0.35">
      <c r="A105" s="64"/>
      <c r="B105" s="64"/>
      <c r="C105" s="64"/>
      <c r="D105" s="65"/>
      <c r="E105" s="66"/>
      <c r="F105" s="64"/>
      <c r="G105" s="67"/>
      <c r="H105" s="68"/>
      <c r="I105" s="64"/>
      <c r="J105" s="76"/>
      <c r="K105" s="67"/>
      <c r="L105" s="26"/>
      <c r="M105" s="19"/>
      <c r="N105" s="2"/>
      <c r="O105" s="64"/>
      <c r="P105" s="64"/>
      <c r="Q105" s="64"/>
      <c r="R105" s="64"/>
      <c r="S105" s="64"/>
    </row>
    <row r="106" spans="1:19" x14ac:dyDescent="0.35">
      <c r="A106" s="64"/>
      <c r="B106" s="64"/>
      <c r="C106" s="64"/>
      <c r="D106" s="65"/>
      <c r="E106" s="66"/>
      <c r="F106" s="64"/>
      <c r="G106" s="67"/>
      <c r="H106" s="68"/>
      <c r="I106" s="64"/>
      <c r="J106" s="76"/>
      <c r="K106" s="67"/>
      <c r="L106" s="26"/>
      <c r="M106" s="19"/>
      <c r="N106" s="2"/>
      <c r="O106" s="64"/>
      <c r="P106" s="64"/>
      <c r="Q106" s="64"/>
      <c r="R106" s="64"/>
      <c r="S106" s="64"/>
    </row>
    <row r="107" spans="1:19" x14ac:dyDescent="0.35">
      <c r="A107" s="64"/>
      <c r="B107" s="64"/>
      <c r="C107" s="64"/>
      <c r="D107" s="65"/>
      <c r="E107" s="66"/>
      <c r="F107" s="64"/>
      <c r="G107" s="67"/>
      <c r="H107" s="68"/>
      <c r="I107" s="64"/>
      <c r="J107" s="76"/>
      <c r="K107" s="67"/>
      <c r="L107" s="26"/>
      <c r="M107" s="19"/>
      <c r="N107" s="2"/>
      <c r="O107" s="64"/>
      <c r="P107" s="64"/>
      <c r="Q107" s="64"/>
      <c r="R107" s="64"/>
      <c r="S107" s="64"/>
    </row>
    <row r="108" spans="1:19" x14ac:dyDescent="0.35">
      <c r="A108" s="64"/>
      <c r="B108" s="64"/>
      <c r="C108" s="64"/>
      <c r="D108" s="65"/>
      <c r="E108" s="66"/>
      <c r="F108" s="64"/>
      <c r="G108" s="67"/>
      <c r="H108" s="68"/>
      <c r="I108" s="64"/>
      <c r="J108" s="76"/>
      <c r="K108" s="67"/>
      <c r="L108" s="26"/>
      <c r="M108" s="19"/>
      <c r="N108" s="2"/>
      <c r="O108" s="64"/>
      <c r="P108" s="64"/>
      <c r="Q108" s="64"/>
      <c r="R108" s="64"/>
      <c r="S108" s="64"/>
    </row>
    <row r="109" spans="1:19" x14ac:dyDescent="0.35">
      <c r="A109" s="64"/>
      <c r="B109" s="64"/>
      <c r="C109" s="64"/>
      <c r="D109" s="65"/>
      <c r="E109" s="66"/>
      <c r="F109" s="64"/>
      <c r="G109" s="67"/>
      <c r="H109" s="68"/>
      <c r="I109" s="64"/>
      <c r="J109" s="76"/>
      <c r="K109" s="3"/>
      <c r="L109" s="26"/>
      <c r="M109" s="19"/>
      <c r="N109" s="2"/>
      <c r="O109" s="64"/>
      <c r="P109" s="64"/>
      <c r="Q109" s="64"/>
      <c r="R109" s="64"/>
      <c r="S109" s="64"/>
    </row>
    <row r="110" spans="1:19" x14ac:dyDescent="0.35">
      <c r="A110" s="64"/>
      <c r="B110" s="64"/>
      <c r="C110" s="64"/>
      <c r="D110" s="65"/>
      <c r="E110" s="66"/>
      <c r="F110" s="64"/>
      <c r="G110" s="67"/>
      <c r="H110" s="68"/>
      <c r="I110" s="64"/>
      <c r="J110" s="76"/>
      <c r="K110" s="77"/>
      <c r="L110" s="26"/>
      <c r="M110" s="72"/>
      <c r="N110" s="2"/>
      <c r="O110" s="64"/>
      <c r="P110" s="64"/>
      <c r="Q110" s="64"/>
      <c r="R110" s="64"/>
      <c r="S110" s="64"/>
    </row>
    <row r="111" spans="1:19" x14ac:dyDescent="0.35">
      <c r="A111" s="64"/>
      <c r="B111" s="64"/>
      <c r="C111" s="64"/>
      <c r="D111" s="65"/>
      <c r="E111" s="66"/>
      <c r="F111" s="64"/>
      <c r="G111" s="67"/>
      <c r="H111" s="68"/>
      <c r="I111" s="64"/>
      <c r="J111" s="76"/>
      <c r="K111" s="67"/>
      <c r="L111" s="26"/>
      <c r="M111" s="19"/>
      <c r="N111" s="2"/>
      <c r="O111" s="64"/>
      <c r="P111" s="64"/>
      <c r="Q111" s="64"/>
      <c r="R111" s="64"/>
      <c r="S111" s="64"/>
    </row>
    <row r="112" spans="1:19" x14ac:dyDescent="0.35">
      <c r="A112" s="78"/>
      <c r="B112" s="64"/>
      <c r="C112" s="64"/>
      <c r="D112" s="65"/>
      <c r="E112" s="66"/>
      <c r="F112" s="64"/>
      <c r="G112" s="67"/>
      <c r="H112" s="68"/>
      <c r="I112" s="64"/>
      <c r="J112" s="81"/>
      <c r="K112" s="4"/>
      <c r="L112" s="26"/>
      <c r="M112" s="19"/>
      <c r="N112" s="2"/>
      <c r="O112" s="64"/>
      <c r="P112" s="64"/>
      <c r="Q112" s="64"/>
      <c r="R112" s="64"/>
      <c r="S112" s="64"/>
    </row>
    <row r="113" spans="1:19" x14ac:dyDescent="0.35">
      <c r="A113" s="78"/>
      <c r="B113" s="64"/>
      <c r="C113" s="64"/>
      <c r="D113" s="65"/>
      <c r="E113" s="66"/>
      <c r="F113" s="64"/>
      <c r="G113" s="67"/>
      <c r="H113" s="68"/>
      <c r="I113" s="64"/>
      <c r="J113" s="76"/>
      <c r="K113" s="77"/>
      <c r="L113" s="26"/>
      <c r="M113" s="19"/>
      <c r="N113" s="2"/>
      <c r="O113" s="64"/>
      <c r="P113" s="64"/>
      <c r="Q113" s="64"/>
      <c r="R113" s="64"/>
      <c r="S113" s="64"/>
    </row>
    <row r="114" spans="1:19" x14ac:dyDescent="0.35">
      <c r="A114" s="78"/>
      <c r="B114" s="64"/>
      <c r="C114" s="64"/>
      <c r="D114" s="65"/>
      <c r="E114" s="66"/>
      <c r="F114" s="64"/>
      <c r="G114" s="67"/>
      <c r="H114" s="68"/>
      <c r="I114" s="64"/>
      <c r="J114" s="76"/>
      <c r="K114" s="77"/>
      <c r="L114" s="26"/>
      <c r="M114" s="19"/>
      <c r="N114" s="2"/>
      <c r="O114" s="64"/>
      <c r="P114" s="64"/>
      <c r="Q114" s="64"/>
      <c r="R114" s="64"/>
      <c r="S114" s="64"/>
    </row>
    <row r="115" spans="1:19" x14ac:dyDescent="0.35">
      <c r="A115" s="78"/>
      <c r="B115" s="64"/>
      <c r="C115" s="64"/>
      <c r="D115" s="65"/>
      <c r="E115" s="66"/>
      <c r="F115" s="64"/>
      <c r="G115" s="67"/>
      <c r="H115" s="68"/>
      <c r="I115" s="64"/>
      <c r="J115" s="76"/>
      <c r="K115" s="77"/>
      <c r="L115" s="26"/>
      <c r="M115" s="19"/>
      <c r="N115" s="2"/>
      <c r="O115" s="64"/>
      <c r="P115" s="64"/>
      <c r="Q115" s="64"/>
      <c r="R115" s="64"/>
      <c r="S115" s="64"/>
    </row>
    <row r="116" spans="1:19" x14ac:dyDescent="0.35">
      <c r="A116" s="78"/>
      <c r="B116" s="64"/>
      <c r="C116" s="64"/>
      <c r="D116" s="65"/>
      <c r="E116" s="66"/>
      <c r="F116" s="64"/>
      <c r="G116" s="67"/>
      <c r="H116" s="68"/>
      <c r="I116" s="64"/>
      <c r="J116" s="76"/>
      <c r="K116" s="77"/>
      <c r="L116" s="26"/>
      <c r="M116" s="19"/>
      <c r="N116" s="2"/>
      <c r="O116" s="64"/>
      <c r="P116" s="64"/>
      <c r="Q116" s="64"/>
      <c r="R116" s="64"/>
      <c r="S116" s="64"/>
    </row>
    <row r="117" spans="1:19" x14ac:dyDescent="0.35">
      <c r="A117" s="78"/>
      <c r="B117" s="64"/>
      <c r="C117" s="64"/>
      <c r="D117" s="65"/>
      <c r="E117" s="66"/>
      <c r="F117" s="64"/>
      <c r="G117" s="67"/>
      <c r="H117" s="68"/>
      <c r="I117" s="64"/>
      <c r="J117" s="76"/>
      <c r="K117" s="77"/>
      <c r="L117" s="26"/>
      <c r="M117" s="19"/>
      <c r="N117" s="2"/>
      <c r="O117" s="64"/>
      <c r="P117" s="64"/>
      <c r="Q117" s="64"/>
      <c r="R117" s="64"/>
      <c r="S117" s="64"/>
    </row>
    <row r="118" spans="1:19" x14ac:dyDescent="0.35">
      <c r="A118" s="78"/>
      <c r="B118" s="64"/>
      <c r="C118" s="64"/>
      <c r="D118" s="65"/>
      <c r="E118" s="66"/>
      <c r="F118" s="64"/>
      <c r="G118" s="67"/>
      <c r="H118" s="68"/>
      <c r="I118" s="64"/>
      <c r="J118" s="76"/>
      <c r="K118" s="77"/>
      <c r="L118" s="26"/>
      <c r="M118" s="19"/>
      <c r="N118" s="2"/>
      <c r="O118" s="64"/>
      <c r="P118" s="64"/>
      <c r="Q118" s="64"/>
      <c r="R118" s="64"/>
      <c r="S118" s="64"/>
    </row>
    <row r="119" spans="1:19" x14ac:dyDescent="0.35">
      <c r="A119" s="69"/>
      <c r="B119" s="64"/>
      <c r="C119" s="64"/>
      <c r="D119" s="65"/>
      <c r="E119" s="66"/>
      <c r="F119" s="64"/>
      <c r="G119" s="67"/>
      <c r="H119" s="68"/>
      <c r="I119" s="69"/>
      <c r="J119" s="70"/>
      <c r="K119" s="3"/>
      <c r="L119" s="71"/>
      <c r="M119" s="72"/>
      <c r="N119" s="2"/>
      <c r="O119" s="64"/>
      <c r="P119" s="64"/>
      <c r="Q119" s="73"/>
      <c r="R119" s="64"/>
      <c r="S119" s="64"/>
    </row>
    <row r="120" spans="1:19" x14ac:dyDescent="0.35">
      <c r="A120" s="78"/>
      <c r="B120" s="64"/>
      <c r="C120" s="64"/>
      <c r="D120" s="65"/>
      <c r="E120" s="66"/>
      <c r="F120" s="64"/>
      <c r="G120" s="67"/>
      <c r="H120" s="68"/>
      <c r="I120" s="64"/>
      <c r="J120" s="81"/>
      <c r="K120" s="77"/>
      <c r="L120" s="26"/>
      <c r="M120" s="19"/>
      <c r="N120" s="2"/>
      <c r="O120" s="64"/>
      <c r="P120" s="64"/>
      <c r="Q120" s="64"/>
      <c r="R120" s="64"/>
      <c r="S120" s="64"/>
    </row>
    <row r="121" spans="1:19" x14ac:dyDescent="0.35">
      <c r="A121" s="78"/>
      <c r="B121" s="64"/>
      <c r="C121" s="64"/>
      <c r="D121" s="65"/>
      <c r="E121" s="66"/>
      <c r="F121" s="64"/>
      <c r="G121" s="67"/>
      <c r="H121" s="68"/>
      <c r="I121" s="64"/>
      <c r="J121" s="76"/>
      <c r="K121" s="77"/>
      <c r="L121" s="26"/>
      <c r="M121" s="19"/>
      <c r="N121" s="2"/>
      <c r="O121" s="64"/>
      <c r="P121" s="64"/>
      <c r="Q121" s="64"/>
      <c r="R121" s="64"/>
      <c r="S121" s="64"/>
    </row>
    <row r="122" spans="1:19" x14ac:dyDescent="0.35">
      <c r="A122" s="78"/>
      <c r="B122" s="64"/>
      <c r="C122" s="64"/>
      <c r="D122" s="65"/>
      <c r="E122" s="66"/>
      <c r="F122" s="64"/>
      <c r="G122" s="67"/>
      <c r="H122" s="68"/>
      <c r="I122" s="64"/>
      <c r="J122" s="76"/>
      <c r="K122" s="77"/>
      <c r="L122" s="26"/>
      <c r="M122" s="105"/>
      <c r="N122" s="2"/>
      <c r="O122" s="64"/>
      <c r="P122" s="64"/>
      <c r="Q122" s="64"/>
      <c r="R122" s="64"/>
      <c r="S122" s="64"/>
    </row>
    <row r="123" spans="1:19" x14ac:dyDescent="0.35">
      <c r="A123" s="78"/>
      <c r="B123" s="64"/>
      <c r="C123" s="64"/>
      <c r="D123" s="65"/>
      <c r="E123" s="66"/>
      <c r="F123" s="64"/>
      <c r="G123" s="67"/>
      <c r="H123" s="68"/>
      <c r="I123" s="64"/>
      <c r="J123" s="76"/>
      <c r="K123" s="77"/>
      <c r="L123" s="26"/>
      <c r="M123" s="19"/>
      <c r="N123" s="2"/>
      <c r="O123" s="64"/>
      <c r="P123" s="64"/>
      <c r="Q123" s="64"/>
      <c r="R123" s="64"/>
      <c r="S123" s="64"/>
    </row>
    <row r="124" spans="1:19" x14ac:dyDescent="0.35">
      <c r="A124" s="78"/>
      <c r="B124" s="64"/>
      <c r="C124" s="64"/>
      <c r="D124" s="65"/>
      <c r="E124" s="66"/>
      <c r="F124" s="64"/>
      <c r="G124" s="67"/>
      <c r="H124" s="68"/>
      <c r="I124" s="64"/>
      <c r="J124" s="70"/>
      <c r="K124" s="3"/>
      <c r="L124" s="71"/>
      <c r="M124" s="72"/>
      <c r="N124" s="2"/>
      <c r="O124" s="64"/>
      <c r="P124" s="64"/>
      <c r="Q124" s="64"/>
      <c r="R124" s="64"/>
      <c r="S124" s="64"/>
    </row>
    <row r="125" spans="1:19" x14ac:dyDescent="0.35">
      <c r="A125" s="78"/>
      <c r="B125" s="64"/>
      <c r="C125" s="64"/>
      <c r="D125" s="65"/>
      <c r="E125" s="66"/>
      <c r="F125" s="64"/>
      <c r="G125" s="67"/>
      <c r="H125" s="68"/>
      <c r="I125" s="64"/>
      <c r="J125" s="93"/>
      <c r="K125" s="3"/>
      <c r="L125" s="71"/>
      <c r="M125" s="72"/>
      <c r="N125" s="2"/>
      <c r="O125" s="64"/>
      <c r="P125" s="64"/>
      <c r="Q125" s="64"/>
      <c r="R125" s="64"/>
      <c r="S125" s="64"/>
    </row>
    <row r="126" spans="1:19" x14ac:dyDescent="0.35">
      <c r="A126" s="78"/>
      <c r="B126" s="64"/>
      <c r="C126" s="64"/>
      <c r="D126" s="65"/>
      <c r="E126" s="66"/>
      <c r="F126" s="64"/>
      <c r="G126" s="67"/>
      <c r="H126" s="68"/>
      <c r="I126" s="64"/>
      <c r="J126" s="76"/>
      <c r="K126" s="3"/>
      <c r="L126" s="71"/>
      <c r="M126" s="72"/>
      <c r="N126" s="2"/>
      <c r="O126" s="64"/>
      <c r="P126" s="64"/>
      <c r="Q126" s="64"/>
      <c r="R126" s="64"/>
      <c r="S126" s="64"/>
    </row>
    <row r="127" spans="1:19" x14ac:dyDescent="0.35">
      <c r="A127" s="78"/>
      <c r="B127" s="64"/>
      <c r="C127" s="64"/>
      <c r="D127" s="65"/>
      <c r="E127" s="66"/>
      <c r="F127" s="64"/>
      <c r="G127" s="67"/>
      <c r="H127" s="68"/>
      <c r="I127" s="64"/>
      <c r="J127" s="76"/>
      <c r="K127" s="3"/>
      <c r="L127" s="71"/>
      <c r="M127" s="72"/>
      <c r="N127" s="2"/>
      <c r="O127" s="64"/>
      <c r="P127" s="64"/>
      <c r="Q127" s="64"/>
      <c r="R127" s="64"/>
      <c r="S127" s="64"/>
    </row>
    <row r="128" spans="1:19" x14ac:dyDescent="0.35">
      <c r="A128" s="78"/>
      <c r="B128" s="64"/>
      <c r="C128" s="64"/>
      <c r="D128" s="65"/>
      <c r="E128" s="66"/>
      <c r="F128" s="64"/>
      <c r="G128" s="67"/>
      <c r="H128" s="68"/>
      <c r="I128" s="64"/>
      <c r="J128" s="76"/>
      <c r="K128" s="3"/>
      <c r="L128" s="71"/>
      <c r="M128" s="72"/>
      <c r="N128" s="2"/>
      <c r="O128" s="64"/>
      <c r="P128" s="64"/>
      <c r="Q128" s="64"/>
      <c r="R128" s="64"/>
      <c r="S128" s="64"/>
    </row>
    <row r="129" spans="1:19" x14ac:dyDescent="0.35">
      <c r="A129" s="78"/>
      <c r="B129" s="64"/>
      <c r="C129" s="64"/>
      <c r="D129" s="65"/>
      <c r="E129" s="66"/>
      <c r="F129" s="64"/>
      <c r="G129" s="67"/>
      <c r="H129" s="68"/>
      <c r="I129" s="64"/>
      <c r="J129" s="76"/>
      <c r="K129" s="3"/>
      <c r="L129" s="71"/>
      <c r="M129" s="72"/>
      <c r="N129" s="2"/>
      <c r="O129" s="64"/>
      <c r="P129" s="64"/>
      <c r="Q129" s="64"/>
      <c r="R129" s="64"/>
      <c r="S129" s="64"/>
    </row>
    <row r="130" spans="1:19" x14ac:dyDescent="0.35">
      <c r="A130" s="78"/>
      <c r="B130" s="64"/>
      <c r="C130" s="64"/>
      <c r="D130" s="65"/>
      <c r="E130" s="66"/>
      <c r="F130" s="64"/>
      <c r="G130" s="67"/>
      <c r="H130" s="68"/>
      <c r="I130" s="64"/>
      <c r="J130" s="76"/>
      <c r="K130" s="3"/>
      <c r="L130" s="71"/>
      <c r="M130" s="72"/>
      <c r="N130" s="2"/>
      <c r="O130" s="64"/>
      <c r="P130" s="64"/>
      <c r="Q130" s="64"/>
      <c r="R130" s="64"/>
      <c r="S130" s="64"/>
    </row>
    <row r="131" spans="1:19" x14ac:dyDescent="0.35">
      <c r="A131" s="78"/>
      <c r="B131" s="64"/>
      <c r="C131" s="64"/>
      <c r="D131" s="65"/>
      <c r="E131" s="66"/>
      <c r="F131" s="64"/>
      <c r="G131" s="67"/>
      <c r="H131" s="68"/>
      <c r="I131" s="64"/>
      <c r="J131" s="76"/>
      <c r="K131" s="3"/>
      <c r="L131" s="71"/>
      <c r="M131" s="72"/>
      <c r="N131" s="2"/>
      <c r="O131" s="64"/>
      <c r="P131" s="64"/>
      <c r="Q131" s="64"/>
      <c r="R131" s="64"/>
      <c r="S131" s="64"/>
    </row>
    <row r="132" spans="1:19" x14ac:dyDescent="0.35">
      <c r="A132" s="78"/>
      <c r="B132" s="64"/>
      <c r="C132" s="64"/>
      <c r="D132" s="65"/>
      <c r="E132" s="66"/>
      <c r="F132" s="64"/>
      <c r="G132" s="67"/>
      <c r="H132" s="68"/>
      <c r="I132" s="64"/>
      <c r="J132" s="76"/>
      <c r="K132" s="3"/>
      <c r="L132" s="71"/>
      <c r="M132" s="72"/>
      <c r="N132" s="2"/>
      <c r="O132" s="64"/>
      <c r="P132" s="64"/>
      <c r="Q132" s="64"/>
      <c r="R132" s="64"/>
      <c r="S132" s="64"/>
    </row>
    <row r="133" spans="1:19" x14ac:dyDescent="0.35">
      <c r="A133" s="78"/>
      <c r="B133" s="64"/>
      <c r="C133" s="64"/>
      <c r="D133" s="65"/>
      <c r="E133" s="66"/>
      <c r="F133" s="64"/>
      <c r="G133" s="67"/>
      <c r="H133" s="68"/>
      <c r="I133" s="64"/>
      <c r="J133" s="76"/>
      <c r="K133" s="3"/>
      <c r="L133" s="71"/>
      <c r="M133" s="72"/>
      <c r="N133" s="2"/>
      <c r="O133" s="64"/>
      <c r="P133" s="64"/>
      <c r="Q133" s="64"/>
      <c r="R133" s="64"/>
      <c r="S133" s="64"/>
    </row>
    <row r="134" spans="1:19" x14ac:dyDescent="0.35">
      <c r="A134" s="78"/>
      <c r="B134" s="64"/>
      <c r="C134" s="64"/>
      <c r="D134" s="65"/>
      <c r="E134" s="66"/>
      <c r="F134" s="64"/>
      <c r="G134" s="67"/>
      <c r="H134" s="68"/>
      <c r="I134" s="64"/>
      <c r="J134" s="76"/>
      <c r="K134" s="3"/>
      <c r="L134" s="71"/>
      <c r="M134" s="72"/>
      <c r="N134" s="2"/>
      <c r="O134" s="64"/>
      <c r="P134" s="64"/>
      <c r="Q134" s="64"/>
      <c r="R134" s="64"/>
      <c r="S134" s="64"/>
    </row>
    <row r="135" spans="1:19" x14ac:dyDescent="0.35">
      <c r="A135" s="78"/>
      <c r="B135" s="64"/>
      <c r="C135" s="64"/>
      <c r="D135" s="65"/>
      <c r="E135" s="66"/>
      <c r="F135" s="64"/>
      <c r="G135" s="67"/>
      <c r="H135" s="68"/>
      <c r="I135" s="64"/>
      <c r="J135" s="76"/>
      <c r="K135" s="3"/>
      <c r="L135" s="71"/>
      <c r="M135" s="72"/>
      <c r="N135" s="2"/>
      <c r="O135" s="64"/>
      <c r="P135" s="64"/>
      <c r="Q135" s="64"/>
      <c r="R135" s="64"/>
      <c r="S135" s="64"/>
    </row>
    <row r="136" spans="1:19" x14ac:dyDescent="0.35">
      <c r="A136" s="78"/>
      <c r="B136" s="64"/>
      <c r="C136" s="64"/>
      <c r="D136" s="65"/>
      <c r="E136" s="66"/>
      <c r="F136" s="64"/>
      <c r="G136" s="67"/>
      <c r="H136" s="68"/>
      <c r="I136" s="64"/>
      <c r="J136" s="70"/>
      <c r="K136" s="3"/>
      <c r="L136" s="71"/>
      <c r="M136" s="72"/>
      <c r="N136" s="2"/>
      <c r="O136" s="64"/>
      <c r="P136" s="64"/>
      <c r="Q136" s="64"/>
      <c r="R136" s="64"/>
      <c r="S136" s="64"/>
    </row>
    <row r="137" spans="1:19" x14ac:dyDescent="0.35">
      <c r="A137" s="78"/>
      <c r="B137" s="64"/>
      <c r="C137" s="64"/>
      <c r="D137" s="65"/>
      <c r="E137" s="66"/>
      <c r="F137" s="64"/>
      <c r="G137" s="67"/>
      <c r="H137" s="68"/>
      <c r="I137" s="64"/>
      <c r="J137" s="76"/>
      <c r="K137" s="3"/>
      <c r="L137" s="71"/>
      <c r="M137" s="72"/>
      <c r="N137" s="2"/>
      <c r="O137" s="64"/>
      <c r="P137" s="64"/>
      <c r="Q137" s="64"/>
      <c r="R137" s="64"/>
      <c r="S137" s="64"/>
    </row>
    <row r="138" spans="1:19" x14ac:dyDescent="0.35">
      <c r="A138" s="78"/>
      <c r="B138" s="64"/>
      <c r="C138" s="64"/>
      <c r="D138" s="65"/>
      <c r="E138" s="66"/>
      <c r="F138" s="64"/>
      <c r="G138" s="67"/>
      <c r="H138" s="68"/>
      <c r="I138" s="64"/>
      <c r="J138" s="76"/>
      <c r="K138" s="3"/>
      <c r="L138" s="71"/>
      <c r="M138" s="72"/>
      <c r="N138" s="2"/>
      <c r="O138" s="64"/>
      <c r="P138" s="64"/>
      <c r="Q138" s="64"/>
      <c r="R138" s="64"/>
      <c r="S138" s="64"/>
    </row>
    <row r="139" spans="1:19" x14ac:dyDescent="0.35">
      <c r="A139" s="78"/>
      <c r="B139" s="64"/>
      <c r="C139" s="64"/>
      <c r="D139" s="65"/>
      <c r="E139" s="66"/>
      <c r="F139" s="64"/>
      <c r="G139" s="67"/>
      <c r="H139" s="68"/>
      <c r="I139" s="64"/>
      <c r="J139" s="76"/>
      <c r="K139" s="3"/>
      <c r="L139" s="71"/>
      <c r="M139" s="72"/>
      <c r="N139" s="2"/>
      <c r="O139" s="64"/>
      <c r="P139" s="64"/>
      <c r="Q139" s="64"/>
      <c r="R139" s="64"/>
      <c r="S139" s="64"/>
    </row>
    <row r="140" spans="1:19" x14ac:dyDescent="0.35">
      <c r="A140" s="78"/>
      <c r="B140" s="64"/>
      <c r="C140" s="64"/>
      <c r="D140" s="65"/>
      <c r="E140" s="66"/>
      <c r="F140" s="64"/>
      <c r="G140" s="67"/>
      <c r="H140" s="68"/>
      <c r="I140" s="64"/>
      <c r="J140" s="76"/>
      <c r="K140" s="3"/>
      <c r="L140" s="71"/>
      <c r="M140" s="72"/>
      <c r="N140" s="2"/>
      <c r="O140" s="64"/>
      <c r="P140" s="64"/>
      <c r="Q140" s="64"/>
      <c r="R140" s="64"/>
      <c r="S140" s="64"/>
    </row>
    <row r="141" spans="1:19" x14ac:dyDescent="0.35">
      <c r="A141" s="94"/>
      <c r="B141" s="64"/>
      <c r="C141" s="64"/>
      <c r="D141" s="65"/>
      <c r="E141" s="66"/>
      <c r="F141" s="64"/>
      <c r="G141" s="67"/>
      <c r="H141" s="68"/>
      <c r="I141" s="69"/>
      <c r="J141" s="94"/>
      <c r="K141" s="93"/>
      <c r="L141" s="71"/>
      <c r="M141" s="2"/>
      <c r="N141" s="2"/>
      <c r="O141" s="2"/>
      <c r="P141" s="2"/>
      <c r="Q141" s="2"/>
      <c r="R141" s="2"/>
      <c r="S141" s="2"/>
    </row>
    <row r="142" spans="1:19" x14ac:dyDescent="0.35">
      <c r="A142" s="78"/>
      <c r="B142" s="64"/>
      <c r="C142" s="64"/>
      <c r="D142" s="65"/>
      <c r="E142" s="66"/>
      <c r="F142" s="64"/>
      <c r="G142" s="67"/>
      <c r="H142" s="68"/>
      <c r="I142" s="64"/>
      <c r="J142" s="18"/>
      <c r="K142" s="93"/>
      <c r="L142" s="71"/>
      <c r="M142" s="2"/>
      <c r="N142" s="2"/>
      <c r="O142" s="2"/>
      <c r="P142" s="2"/>
      <c r="Q142" s="2"/>
      <c r="R142" s="2"/>
      <c r="S142" s="2"/>
    </row>
    <row r="143" spans="1:19" x14ac:dyDescent="0.35">
      <c r="A143" s="78"/>
      <c r="B143" s="64"/>
      <c r="C143" s="64"/>
      <c r="D143" s="65"/>
      <c r="E143" s="66"/>
      <c r="F143" s="64"/>
      <c r="G143" s="67"/>
      <c r="H143" s="68"/>
      <c r="I143" s="64"/>
      <c r="J143" s="18"/>
      <c r="K143" s="93"/>
      <c r="L143" s="71"/>
      <c r="M143" s="2"/>
      <c r="N143" s="2"/>
      <c r="O143" s="2"/>
      <c r="P143" s="2"/>
      <c r="Q143" s="2"/>
      <c r="R143" s="2"/>
      <c r="S143" s="2"/>
    </row>
    <row r="144" spans="1:19" x14ac:dyDescent="0.35">
      <c r="A144" s="78"/>
      <c r="B144" s="64"/>
      <c r="C144" s="64"/>
      <c r="D144" s="65"/>
      <c r="E144" s="66"/>
      <c r="F144" s="64"/>
      <c r="G144" s="67"/>
      <c r="H144" s="68"/>
      <c r="I144" s="64"/>
      <c r="J144" s="18"/>
      <c r="K144" s="93"/>
      <c r="L144" s="71"/>
      <c r="M144" s="2"/>
      <c r="N144" s="2"/>
      <c r="O144" s="2"/>
      <c r="P144" s="2"/>
      <c r="Q144" s="2"/>
      <c r="R144" s="2"/>
      <c r="S144" s="2"/>
    </row>
    <row r="145" spans="1:19" x14ac:dyDescent="0.35">
      <c r="A145" s="78"/>
      <c r="B145" s="64"/>
      <c r="C145" s="64"/>
      <c r="D145" s="65"/>
      <c r="E145" s="66"/>
      <c r="F145" s="64"/>
      <c r="G145" s="67"/>
      <c r="H145" s="68"/>
      <c r="I145" s="64"/>
      <c r="J145" s="18"/>
      <c r="K145" s="93"/>
      <c r="L145" s="71"/>
      <c r="M145" s="2"/>
      <c r="N145" s="2"/>
      <c r="O145" s="2"/>
      <c r="P145" s="2"/>
      <c r="Q145" s="2"/>
      <c r="R145" s="2"/>
      <c r="S145" s="2"/>
    </row>
    <row r="146" spans="1:19" x14ac:dyDescent="0.35">
      <c r="A146" s="78"/>
      <c r="B146" s="64"/>
      <c r="C146" s="64"/>
      <c r="D146" s="65"/>
      <c r="E146" s="66"/>
      <c r="F146" s="64"/>
      <c r="G146" s="67"/>
      <c r="H146" s="68"/>
      <c r="I146" s="64"/>
      <c r="J146" s="18"/>
      <c r="K146" s="18"/>
      <c r="L146" s="71"/>
      <c r="M146" s="2"/>
      <c r="N146" s="2"/>
      <c r="O146" s="2"/>
      <c r="P146" s="2"/>
      <c r="Q146" s="2"/>
      <c r="R146" s="2"/>
      <c r="S146" s="2"/>
    </row>
    <row r="147" spans="1:19" x14ac:dyDescent="0.35">
      <c r="A147" s="78"/>
      <c r="B147" s="64"/>
      <c r="C147" s="64"/>
      <c r="D147" s="65"/>
      <c r="E147" s="66"/>
      <c r="F147" s="64"/>
      <c r="G147" s="67"/>
      <c r="H147" s="68"/>
      <c r="I147" s="64"/>
      <c r="J147" s="18"/>
      <c r="K147" s="18"/>
      <c r="L147" s="71"/>
      <c r="M147" s="2"/>
      <c r="N147" s="2"/>
      <c r="O147" s="2"/>
      <c r="P147" s="2"/>
      <c r="Q147" s="2"/>
      <c r="R147" s="2"/>
      <c r="S147" s="2"/>
    </row>
    <row r="148" spans="1:19" x14ac:dyDescent="0.35">
      <c r="A148" s="70"/>
      <c r="B148" s="2"/>
      <c r="C148" s="2"/>
      <c r="D148" s="65"/>
      <c r="E148" s="66"/>
      <c r="F148" s="2"/>
      <c r="G148" s="67"/>
      <c r="H148" s="68"/>
      <c r="I148" s="69"/>
      <c r="J148" s="83"/>
      <c r="K148" s="3"/>
      <c r="L148" s="26"/>
      <c r="M148" s="2"/>
      <c r="N148" s="2"/>
      <c r="O148" s="2"/>
      <c r="P148" s="2"/>
      <c r="Q148" s="2"/>
      <c r="R148" s="2"/>
      <c r="S148" s="2"/>
    </row>
    <row r="149" spans="1:19" x14ac:dyDescent="0.35">
      <c r="A149" s="2"/>
      <c r="B149" s="2"/>
      <c r="C149" s="2"/>
      <c r="D149" s="65"/>
      <c r="E149" s="66"/>
      <c r="F149" s="2"/>
      <c r="G149" s="67"/>
      <c r="H149" s="68"/>
      <c r="I149" s="2"/>
      <c r="J149" s="85"/>
      <c r="K149" s="93"/>
      <c r="L149" s="26"/>
      <c r="M149" s="2"/>
      <c r="N149" s="2"/>
      <c r="O149" s="2"/>
      <c r="P149" s="2"/>
      <c r="Q149" s="2"/>
      <c r="R149" s="2"/>
      <c r="S149" s="2"/>
    </row>
    <row r="150" spans="1:19" ht="15.5" x14ac:dyDescent="0.35">
      <c r="A150" s="2"/>
      <c r="B150" s="2"/>
      <c r="C150" s="2"/>
      <c r="D150" s="65"/>
      <c r="E150" s="66"/>
      <c r="F150" s="2"/>
      <c r="G150" s="67"/>
      <c r="H150" s="68"/>
      <c r="I150" s="2"/>
      <c r="J150" s="95"/>
      <c r="K150" s="67"/>
      <c r="L150" s="26"/>
      <c r="M150" s="2"/>
      <c r="N150" s="2"/>
      <c r="O150" s="2"/>
      <c r="P150" s="2"/>
      <c r="Q150" s="2"/>
      <c r="R150" s="2"/>
      <c r="S150" s="2"/>
    </row>
    <row r="151" spans="1:19" ht="15.5" x14ac:dyDescent="0.35">
      <c r="A151" s="2"/>
      <c r="B151" s="2"/>
      <c r="C151" s="2"/>
      <c r="D151" s="65"/>
      <c r="E151" s="66"/>
      <c r="F151" s="2"/>
      <c r="G151" s="67"/>
      <c r="H151" s="68"/>
      <c r="I151" s="2"/>
      <c r="J151" s="95"/>
      <c r="K151" s="64"/>
      <c r="L151" s="26"/>
      <c r="M151" s="2"/>
      <c r="N151" s="2"/>
      <c r="O151" s="2"/>
      <c r="P151" s="2"/>
      <c r="Q151" s="2"/>
      <c r="R151" s="2"/>
      <c r="S151" s="2"/>
    </row>
    <row r="152" spans="1:19" ht="15.5" x14ac:dyDescent="0.35">
      <c r="A152" s="2"/>
      <c r="B152" s="2"/>
      <c r="C152" s="2"/>
      <c r="D152" s="65"/>
      <c r="E152" s="66"/>
      <c r="F152" s="2"/>
      <c r="G152" s="67"/>
      <c r="H152" s="68"/>
      <c r="I152" s="2"/>
      <c r="J152" s="95"/>
      <c r="K152" s="64"/>
      <c r="L152" s="26"/>
      <c r="M152" s="2"/>
      <c r="N152" s="2"/>
      <c r="O152" s="2"/>
      <c r="P152" s="2"/>
      <c r="Q152" s="2"/>
      <c r="R152" s="2"/>
      <c r="S152" s="2"/>
    </row>
    <row r="153" spans="1:19" ht="15.5" x14ac:dyDescent="0.35">
      <c r="A153" s="2"/>
      <c r="B153" s="2"/>
      <c r="C153" s="2"/>
      <c r="D153" s="65"/>
      <c r="E153" s="66"/>
      <c r="F153" s="2"/>
      <c r="G153" s="67"/>
      <c r="H153" s="68"/>
      <c r="I153" s="2"/>
      <c r="J153" s="95"/>
      <c r="K153" s="64"/>
      <c r="L153" s="26"/>
      <c r="M153" s="2"/>
      <c r="N153" s="2"/>
      <c r="O153" s="2"/>
      <c r="P153" s="2"/>
      <c r="Q153" s="2"/>
      <c r="R153" s="2"/>
      <c r="S153" s="2"/>
    </row>
    <row r="154" spans="1:19" ht="15.5" x14ac:dyDescent="0.35">
      <c r="A154" s="2"/>
      <c r="B154" s="2"/>
      <c r="C154" s="2"/>
      <c r="D154" s="65"/>
      <c r="E154" s="66"/>
      <c r="F154" s="2"/>
      <c r="G154" s="67"/>
      <c r="H154" s="68"/>
      <c r="I154" s="2"/>
      <c r="J154" s="95"/>
      <c r="K154" s="67"/>
      <c r="L154" s="26"/>
      <c r="M154" s="2"/>
      <c r="N154" s="2"/>
      <c r="O154" s="2"/>
      <c r="P154" s="2"/>
      <c r="Q154" s="2"/>
      <c r="R154" s="2"/>
      <c r="S154" s="2"/>
    </row>
    <row r="155" spans="1:19" x14ac:dyDescent="0.35">
      <c r="A155" s="2"/>
      <c r="B155" s="2"/>
      <c r="C155" s="2"/>
      <c r="D155" s="65"/>
      <c r="E155" s="66"/>
      <c r="F155" s="2"/>
      <c r="G155" s="67"/>
      <c r="H155" s="68"/>
      <c r="I155" s="2"/>
      <c r="J155" s="67"/>
      <c r="K155" s="85"/>
      <c r="L155" s="26"/>
      <c r="M155" s="2"/>
      <c r="N155" s="2"/>
      <c r="O155" s="2"/>
      <c r="P155" s="2"/>
      <c r="Q155" s="2"/>
      <c r="R155" s="2"/>
      <c r="S155" s="2"/>
    </row>
    <row r="156" spans="1:19" x14ac:dyDescent="0.35">
      <c r="A156" s="1"/>
      <c r="B156" s="2"/>
      <c r="C156" s="2"/>
      <c r="D156" s="65"/>
      <c r="E156" s="66"/>
      <c r="F156" s="2"/>
      <c r="G156" s="67"/>
      <c r="H156" s="68"/>
      <c r="I156" s="2"/>
      <c r="J156" s="4"/>
      <c r="K156" s="64"/>
      <c r="L156" s="26"/>
      <c r="M156" s="2"/>
      <c r="N156" s="2"/>
      <c r="O156" s="2"/>
      <c r="P156" s="2"/>
      <c r="Q156" s="2"/>
      <c r="R156" s="2"/>
      <c r="S156" s="2"/>
    </row>
  </sheetData>
  <autoFilter ref="A1:S156" xr:uid="{379B0409-6EA0-4870-BDB2-F944B0EF2112}"/>
  <phoneticPr fontId="12" type="noConversion"/>
  <conditionalFormatting sqref="A40:C60">
    <cfRule type="expression" dxfId="34" priority="12" stopIfTrue="1">
      <formula>(#REF! = "Not First Step")</formula>
    </cfRule>
  </conditionalFormatting>
  <conditionalFormatting sqref="A62:C77 A120:C140">
    <cfRule type="expression" dxfId="33" priority="33" stopIfTrue="1">
      <formula>(#REF! = "Not First Step")</formula>
    </cfRule>
  </conditionalFormatting>
  <conditionalFormatting sqref="A79:C88">
    <cfRule type="expression" dxfId="32" priority="29" stopIfTrue="1">
      <formula>(#REF! = "Not First Step")</formula>
    </cfRule>
  </conditionalFormatting>
  <conditionalFormatting sqref="A99:C118">
    <cfRule type="expression" dxfId="31" priority="35" stopIfTrue="1">
      <formula>(#REF! = "Not First Step")</formula>
    </cfRule>
  </conditionalFormatting>
  <conditionalFormatting sqref="A142:C147">
    <cfRule type="expression" dxfId="30" priority="26" stopIfTrue="1">
      <formula>(#REF! = "Not First Step")</formula>
    </cfRule>
  </conditionalFormatting>
  <conditionalFormatting sqref="B2:C6 A7:C9">
    <cfRule type="expression" dxfId="29" priority="11" stopIfTrue="1">
      <formula>(#REF! = "Not First Step")</formula>
    </cfRule>
  </conditionalFormatting>
  <conditionalFormatting sqref="B10:C10">
    <cfRule type="expression" dxfId="28" priority="47" stopIfTrue="1">
      <formula>(#REF! = "Not First Step")</formula>
    </cfRule>
  </conditionalFormatting>
  <conditionalFormatting sqref="B39:C39">
    <cfRule type="expression" dxfId="27" priority="17" stopIfTrue="1">
      <formula>(#REF! = "Not First Step")</formula>
    </cfRule>
  </conditionalFormatting>
  <conditionalFormatting sqref="B61:C61">
    <cfRule type="expression" dxfId="26" priority="25" stopIfTrue="1">
      <formula>(#REF! = "Not First Step")</formula>
    </cfRule>
  </conditionalFormatting>
  <conditionalFormatting sqref="B78:C78">
    <cfRule type="expression" dxfId="25" priority="23" stopIfTrue="1">
      <formula>(#REF! = "Not First Step")</formula>
    </cfRule>
  </conditionalFormatting>
  <conditionalFormatting sqref="B98:C98">
    <cfRule type="expression" dxfId="24" priority="21" stopIfTrue="1">
      <formula>(#REF! = "Not First Step")</formula>
    </cfRule>
  </conditionalFormatting>
  <conditionalFormatting sqref="B119:C119">
    <cfRule type="expression" dxfId="23" priority="19" stopIfTrue="1">
      <formula>(#REF! = "Not First Step")</formula>
    </cfRule>
  </conditionalFormatting>
  <conditionalFormatting sqref="B141:C141">
    <cfRule type="expression" dxfId="22" priority="28" stopIfTrue="1">
      <formula>(#REF! = "Not First Step")</formula>
    </cfRule>
  </conditionalFormatting>
  <conditionalFormatting sqref="F2:F30 A11:C38">
    <cfRule type="expression" dxfId="21" priority="1" stopIfTrue="1">
      <formula>(#REF! = "Not First Step")</formula>
    </cfRule>
  </conditionalFormatting>
  <conditionalFormatting sqref="F39:F52">
    <cfRule type="expression" dxfId="20" priority="14" stopIfTrue="1">
      <formula>(#REF! = "Not First Step")</formula>
    </cfRule>
  </conditionalFormatting>
  <conditionalFormatting sqref="F61">
    <cfRule type="expression" dxfId="19" priority="24" stopIfTrue="1">
      <formula>(#REF! = "Not First Step")</formula>
    </cfRule>
  </conditionalFormatting>
  <conditionalFormatting sqref="F78">
    <cfRule type="expression" dxfId="18" priority="22" stopIfTrue="1">
      <formula>(#REF! = "Not First Step")</formula>
    </cfRule>
  </conditionalFormatting>
  <conditionalFormatting sqref="F98:F111">
    <cfRule type="expression" dxfId="17" priority="20" stopIfTrue="1">
      <formula>(#REF! = "Not First Step")</formula>
    </cfRule>
  </conditionalFormatting>
  <conditionalFormatting sqref="F119">
    <cfRule type="expression" dxfId="16" priority="18" stopIfTrue="1">
      <formula>(#REF! = "Not First Step")</formula>
    </cfRule>
  </conditionalFormatting>
  <dataValidations count="2">
    <dataValidation type="list" allowBlank="1" showInputMessage="1" showErrorMessage="1" sqref="F98:F147 F1:F88" xr:uid="{4E9A42BA-9885-4852-A59E-2FD27B337CAF}">
      <formula1>Status</formula1>
    </dataValidation>
    <dataValidation type="list" allowBlank="1" showInputMessage="1" showErrorMessage="1" sqref="N2:N156" xr:uid="{EED88855-12B7-437B-A45F-4430779DB927}">
      <formula1>"Pass,Fail,Deferred,Not Valid,Not Applicable,In Progress,No Run"</formula1>
    </dataValidation>
  </dataValidations>
  <pageMargins left="0.7" right="0.7" top="0.75" bottom="0.75" header="0.3" footer="0.3"/>
  <pageSetup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5BE20-9E4E-404E-BB98-3A9A4E57CB0D}">
  <dimension ref="A1:S58"/>
  <sheetViews>
    <sheetView topLeftCell="J1" workbookViewId="0">
      <selection activeCell="N17" sqref="N17"/>
    </sheetView>
  </sheetViews>
  <sheetFormatPr defaultRowHeight="14.5" x14ac:dyDescent="0.35"/>
  <cols>
    <col min="1" max="1" width="18.453125" customWidth="1"/>
    <col min="2" max="2" width="14.453125" customWidth="1"/>
    <col min="3" max="3" width="11.54296875" customWidth="1"/>
    <col min="4" max="4" width="9.453125" customWidth="1"/>
    <col min="5" max="5" width="13.453125" customWidth="1"/>
    <col min="6" max="6" width="10.453125" customWidth="1"/>
    <col min="7" max="7" width="14.54296875" customWidth="1"/>
    <col min="8" max="8" width="10.453125" customWidth="1"/>
    <col min="9" max="10" width="24.54296875" customWidth="1"/>
    <col min="11" max="11" width="41.54296875" customWidth="1"/>
    <col min="12" max="12" width="26.54296875" customWidth="1"/>
    <col min="13" max="13" width="11.453125" customWidth="1"/>
    <col min="14" max="14" width="15.54296875" customWidth="1"/>
    <col min="19" max="19" width="18.54296875" customWidth="1"/>
  </cols>
  <sheetData>
    <row r="1" spans="1:19" ht="37.5" x14ac:dyDescent="0.35">
      <c r="A1" s="5" t="s">
        <v>0</v>
      </c>
      <c r="B1" s="5" t="s">
        <v>1</v>
      </c>
      <c r="C1" s="5" t="s">
        <v>2</v>
      </c>
      <c r="D1" s="5" t="s">
        <v>3</v>
      </c>
      <c r="E1" s="5" t="s">
        <v>4</v>
      </c>
      <c r="F1" s="5" t="s">
        <v>5</v>
      </c>
      <c r="G1" s="5" t="s">
        <v>6</v>
      </c>
      <c r="H1" s="6" t="s">
        <v>7</v>
      </c>
      <c r="I1" s="6" t="s">
        <v>8</v>
      </c>
      <c r="J1" s="6" t="s">
        <v>9</v>
      </c>
      <c r="K1" s="6" t="s">
        <v>10</v>
      </c>
      <c r="L1" s="7" t="s">
        <v>11</v>
      </c>
      <c r="M1" s="7" t="s">
        <v>12</v>
      </c>
      <c r="N1" s="6" t="s">
        <v>13</v>
      </c>
      <c r="O1" s="8" t="s">
        <v>14</v>
      </c>
      <c r="P1" s="9" t="s">
        <v>15</v>
      </c>
      <c r="Q1" s="9" t="s">
        <v>16</v>
      </c>
      <c r="R1" s="9" t="s">
        <v>17</v>
      </c>
      <c r="S1" s="9" t="s">
        <v>18</v>
      </c>
    </row>
    <row r="2" spans="1:19" ht="43.5" x14ac:dyDescent="0.35">
      <c r="A2" s="12"/>
      <c r="B2" s="11"/>
      <c r="C2" s="11"/>
      <c r="D2" s="22"/>
      <c r="E2" s="23"/>
      <c r="F2" s="11"/>
      <c r="G2" s="20"/>
      <c r="H2" s="68" t="s">
        <v>23</v>
      </c>
      <c r="I2" s="12"/>
      <c r="J2" s="48"/>
      <c r="K2" s="3" t="s">
        <v>493</v>
      </c>
      <c r="L2" s="25" t="s">
        <v>27</v>
      </c>
      <c r="M2" s="13"/>
      <c r="N2" s="2" t="s">
        <v>22</v>
      </c>
      <c r="O2" s="11"/>
      <c r="P2" s="11"/>
      <c r="Q2" s="14"/>
      <c r="R2" s="11"/>
      <c r="S2" s="11"/>
    </row>
    <row r="3" spans="1:19" ht="29" x14ac:dyDescent="0.35">
      <c r="A3" s="11"/>
      <c r="B3" s="11"/>
      <c r="C3" s="11"/>
      <c r="D3" s="22"/>
      <c r="E3" s="23"/>
      <c r="F3" s="11"/>
      <c r="G3" s="20"/>
      <c r="H3" s="68" t="s">
        <v>28</v>
      </c>
      <c r="I3" s="11"/>
      <c r="J3" s="48"/>
      <c r="K3" s="3" t="s">
        <v>494</v>
      </c>
      <c r="L3" s="25" t="s">
        <v>27</v>
      </c>
      <c r="M3" s="13"/>
      <c r="N3" s="2" t="s">
        <v>22</v>
      </c>
      <c r="O3" s="11"/>
      <c r="P3" s="11"/>
      <c r="Q3" s="14"/>
      <c r="R3" s="11" t="s">
        <v>495</v>
      </c>
      <c r="S3" s="213">
        <v>112022103102</v>
      </c>
    </row>
    <row r="4" spans="1:19" ht="26.5" x14ac:dyDescent="0.35">
      <c r="A4" s="11"/>
      <c r="B4" s="11"/>
      <c r="C4" s="11"/>
      <c r="D4" s="22"/>
      <c r="E4" s="23"/>
      <c r="F4" s="11"/>
      <c r="G4" s="20"/>
      <c r="H4" s="68" t="s">
        <v>30</v>
      </c>
      <c r="I4" s="11"/>
      <c r="J4" s="50"/>
      <c r="K4" s="20" t="s">
        <v>496</v>
      </c>
      <c r="L4" s="25" t="s">
        <v>27</v>
      </c>
      <c r="M4" s="13"/>
      <c r="N4" s="2" t="s">
        <v>22</v>
      </c>
      <c r="O4" s="11"/>
      <c r="P4" s="11"/>
      <c r="Q4" s="14"/>
      <c r="R4" s="11"/>
      <c r="S4" s="11"/>
    </row>
    <row r="5" spans="1:19" ht="29" x14ac:dyDescent="0.35">
      <c r="A5" s="11"/>
      <c r="B5" s="11"/>
      <c r="C5" s="11"/>
      <c r="D5" s="22"/>
      <c r="E5" s="23"/>
      <c r="F5" s="11"/>
      <c r="G5" s="20"/>
      <c r="H5" s="68" t="s">
        <v>32</v>
      </c>
      <c r="I5" s="11"/>
      <c r="J5" s="50"/>
      <c r="K5" s="51" t="s">
        <v>497</v>
      </c>
      <c r="L5" s="25" t="s">
        <v>27</v>
      </c>
      <c r="M5" s="13"/>
      <c r="N5" s="2" t="s">
        <v>22</v>
      </c>
      <c r="O5" s="11"/>
      <c r="P5" s="11"/>
      <c r="Q5" s="14"/>
      <c r="R5" s="11"/>
      <c r="S5" s="11"/>
    </row>
    <row r="6" spans="1:19" ht="43.5" x14ac:dyDescent="0.35">
      <c r="A6" s="17"/>
      <c r="B6" s="11"/>
      <c r="C6" s="11"/>
      <c r="D6" s="22"/>
      <c r="E6" s="23"/>
      <c r="F6" s="11"/>
      <c r="G6" s="20"/>
      <c r="H6" s="68" t="s">
        <v>34</v>
      </c>
      <c r="I6" s="11"/>
      <c r="J6" s="15"/>
      <c r="K6" s="51" t="s">
        <v>498</v>
      </c>
      <c r="L6" s="26"/>
      <c r="M6" s="19"/>
      <c r="N6" s="2" t="s">
        <v>22</v>
      </c>
      <c r="O6" s="11"/>
      <c r="P6" s="11"/>
      <c r="Q6" s="11"/>
      <c r="R6" s="11"/>
      <c r="S6" s="11"/>
    </row>
    <row r="7" spans="1:19" ht="43.5" x14ac:dyDescent="0.35">
      <c r="A7" s="17"/>
      <c r="B7" s="11"/>
      <c r="C7" s="11"/>
      <c r="D7" s="22"/>
      <c r="E7" s="23"/>
      <c r="F7" s="11"/>
      <c r="G7" s="20"/>
      <c r="H7" s="68" t="s">
        <v>36</v>
      </c>
      <c r="I7" s="18"/>
      <c r="J7" s="50"/>
      <c r="K7" s="51" t="s">
        <v>499</v>
      </c>
      <c r="L7" s="25" t="s">
        <v>27</v>
      </c>
      <c r="M7" s="19"/>
      <c r="N7" s="2" t="s">
        <v>22</v>
      </c>
      <c r="O7" s="11"/>
      <c r="P7" s="11"/>
      <c r="Q7" s="14"/>
      <c r="R7" s="11"/>
      <c r="S7" s="11"/>
    </row>
    <row r="8" spans="1:19" ht="50.5" x14ac:dyDescent="0.35">
      <c r="A8" s="11"/>
      <c r="B8" s="11"/>
      <c r="C8" s="11"/>
      <c r="D8" s="22"/>
      <c r="E8" s="23"/>
      <c r="F8" s="11"/>
      <c r="G8" s="20"/>
      <c r="H8" s="68" t="s">
        <v>38</v>
      </c>
      <c r="I8" s="11"/>
      <c r="J8" s="50"/>
      <c r="K8" s="16" t="s">
        <v>500</v>
      </c>
      <c r="L8" s="25" t="s">
        <v>27</v>
      </c>
      <c r="M8" s="13"/>
      <c r="N8" s="2" t="s">
        <v>22</v>
      </c>
      <c r="O8" s="11"/>
      <c r="P8" s="11"/>
      <c r="Q8" s="14"/>
      <c r="R8" s="11"/>
      <c r="S8" s="11" t="s">
        <v>501</v>
      </c>
    </row>
    <row r="9" spans="1:19" ht="75.5" x14ac:dyDescent="0.35">
      <c r="A9" s="11"/>
      <c r="B9" s="11"/>
      <c r="C9" s="11"/>
      <c r="D9" s="22"/>
      <c r="E9" s="23"/>
      <c r="F9" s="11"/>
      <c r="G9" s="20"/>
      <c r="H9" s="68" t="s">
        <v>40</v>
      </c>
      <c r="I9" s="11"/>
      <c r="J9" s="50"/>
      <c r="K9" s="16" t="s">
        <v>502</v>
      </c>
      <c r="L9" s="25" t="s">
        <v>27</v>
      </c>
      <c r="M9" s="19"/>
      <c r="N9" s="2" t="s">
        <v>22</v>
      </c>
      <c r="O9" s="11"/>
      <c r="P9" s="11"/>
      <c r="Q9" s="11"/>
      <c r="R9" s="11"/>
      <c r="S9" s="11">
        <v>112021199540</v>
      </c>
    </row>
    <row r="10" spans="1:19" ht="38" x14ac:dyDescent="0.35">
      <c r="A10" s="11"/>
      <c r="B10" s="11"/>
      <c r="C10" s="11"/>
      <c r="D10" s="22"/>
      <c r="E10" s="23"/>
      <c r="F10" s="11"/>
      <c r="G10" s="20"/>
      <c r="H10" s="68" t="s">
        <v>42</v>
      </c>
      <c r="I10" s="11"/>
      <c r="J10" s="50"/>
      <c r="K10" s="16" t="s">
        <v>503</v>
      </c>
      <c r="L10" s="25" t="s">
        <v>27</v>
      </c>
      <c r="M10" s="19"/>
      <c r="N10" s="2" t="s">
        <v>22</v>
      </c>
      <c r="O10" s="11"/>
      <c r="P10" s="11"/>
      <c r="Q10" s="11"/>
      <c r="R10" s="11"/>
      <c r="S10" s="11"/>
    </row>
    <row r="11" spans="1:19" ht="29" x14ac:dyDescent="0.35">
      <c r="A11" s="11"/>
      <c r="B11" s="11"/>
      <c r="C11" s="11"/>
      <c r="D11" s="22"/>
      <c r="E11" s="23"/>
      <c r="F11" s="11"/>
      <c r="G11" s="20"/>
      <c r="H11" s="68" t="s">
        <v>148</v>
      </c>
      <c r="I11" s="11"/>
      <c r="J11" s="50"/>
      <c r="K11" s="201" t="s">
        <v>504</v>
      </c>
      <c r="L11" s="25" t="s">
        <v>27</v>
      </c>
      <c r="M11" s="19"/>
      <c r="N11" s="2" t="s">
        <v>22</v>
      </c>
      <c r="O11" s="11"/>
      <c r="P11" s="11"/>
      <c r="Q11" s="11"/>
      <c r="R11" s="11"/>
      <c r="S11" s="11"/>
    </row>
    <row r="12" spans="1:19" ht="29" x14ac:dyDescent="0.35">
      <c r="A12" s="11"/>
      <c r="B12" s="11"/>
      <c r="C12" s="11"/>
      <c r="D12" s="22"/>
      <c r="E12" s="23"/>
      <c r="F12" s="11"/>
      <c r="G12" s="20"/>
      <c r="H12" s="68" t="s">
        <v>150</v>
      </c>
      <c r="I12" s="11"/>
      <c r="J12" s="15"/>
      <c r="K12" s="202" t="s">
        <v>505</v>
      </c>
      <c r="L12" s="25" t="s">
        <v>27</v>
      </c>
      <c r="M12" s="19"/>
      <c r="N12" s="2" t="s">
        <v>22</v>
      </c>
      <c r="O12" s="11"/>
      <c r="P12" s="11"/>
      <c r="Q12" s="11"/>
      <c r="R12" s="11"/>
      <c r="S12" s="11"/>
    </row>
    <row r="13" spans="1:19" ht="101.5" x14ac:dyDescent="0.35">
      <c r="A13" s="11"/>
      <c r="B13" s="11"/>
      <c r="C13" s="11"/>
      <c r="D13" s="22"/>
      <c r="E13" s="23"/>
      <c r="F13" s="11"/>
      <c r="G13" s="20"/>
      <c r="H13" s="68" t="s">
        <v>44</v>
      </c>
      <c r="I13" s="11"/>
      <c r="J13" s="15"/>
      <c r="K13" s="202" t="s">
        <v>506</v>
      </c>
      <c r="L13" s="25" t="s">
        <v>27</v>
      </c>
      <c r="M13" s="19"/>
      <c r="N13" s="2" t="s">
        <v>22</v>
      </c>
      <c r="O13" s="11"/>
      <c r="P13" s="11"/>
      <c r="Q13" s="11"/>
      <c r="R13" s="11"/>
      <c r="S13" s="11">
        <v>112021260393</v>
      </c>
    </row>
    <row r="14" spans="1:19" ht="29" x14ac:dyDescent="0.35">
      <c r="A14" s="11"/>
      <c r="B14" s="11"/>
      <c r="C14" s="11"/>
      <c r="D14" s="22"/>
      <c r="E14" s="23"/>
      <c r="F14" s="11"/>
      <c r="G14" s="20"/>
      <c r="H14" s="68" t="s">
        <v>46</v>
      </c>
      <c r="I14" s="11"/>
      <c r="J14" s="15"/>
      <c r="K14" s="202" t="s">
        <v>507</v>
      </c>
      <c r="L14" s="25" t="s">
        <v>27</v>
      </c>
      <c r="M14" s="19"/>
      <c r="N14" s="2" t="s">
        <v>22</v>
      </c>
      <c r="O14" s="11"/>
      <c r="P14" s="11"/>
      <c r="Q14" s="11"/>
      <c r="R14" s="11"/>
      <c r="S14" s="11"/>
    </row>
    <row r="15" spans="1:19" ht="29" x14ac:dyDescent="0.35">
      <c r="A15" s="17"/>
      <c r="B15" s="11"/>
      <c r="C15" s="11"/>
      <c r="D15" s="22"/>
      <c r="E15" s="23"/>
      <c r="F15" s="11"/>
      <c r="G15" s="20"/>
      <c r="H15" s="68" t="s">
        <v>48</v>
      </c>
      <c r="I15" s="11"/>
      <c r="J15" s="21"/>
      <c r="K15" s="202" t="s">
        <v>508</v>
      </c>
      <c r="L15" s="25" t="s">
        <v>27</v>
      </c>
      <c r="M15" s="19"/>
      <c r="N15" s="2" t="s">
        <v>22</v>
      </c>
      <c r="O15" s="11"/>
      <c r="P15" s="11"/>
      <c r="Q15" s="11"/>
      <c r="R15" s="11"/>
      <c r="S15" s="11"/>
    </row>
    <row r="16" spans="1:19" ht="29" x14ac:dyDescent="0.35">
      <c r="A16" s="17"/>
      <c r="B16" s="11"/>
      <c r="C16" s="11"/>
      <c r="D16" s="22"/>
      <c r="E16" s="23"/>
      <c r="F16" s="11"/>
      <c r="G16" s="20"/>
      <c r="H16" s="68" t="s">
        <v>51</v>
      </c>
      <c r="I16" s="11"/>
      <c r="J16" s="15"/>
      <c r="K16" s="202" t="s">
        <v>509</v>
      </c>
      <c r="L16" s="25" t="s">
        <v>27</v>
      </c>
      <c r="M16" s="19"/>
      <c r="N16" s="2" t="s">
        <v>22</v>
      </c>
      <c r="O16" s="11"/>
      <c r="P16" s="11"/>
      <c r="Q16" s="11"/>
      <c r="R16" s="11"/>
      <c r="S16" s="11"/>
    </row>
    <row r="17" spans="1:19" ht="38" x14ac:dyDescent="0.35">
      <c r="A17" s="17"/>
      <c r="B17" s="11"/>
      <c r="C17" s="11"/>
      <c r="D17" s="22"/>
      <c r="E17" s="23"/>
      <c r="F17" s="11"/>
      <c r="G17" s="20"/>
      <c r="H17" s="68" t="s">
        <v>53</v>
      </c>
      <c r="I17" s="11"/>
      <c r="J17" s="15"/>
      <c r="K17" s="16" t="s">
        <v>510</v>
      </c>
      <c r="L17" s="25" t="s">
        <v>27</v>
      </c>
      <c r="M17" s="19"/>
      <c r="N17" s="2" t="s">
        <v>22</v>
      </c>
      <c r="O17" s="11"/>
      <c r="P17" s="11"/>
      <c r="Q17" s="11"/>
      <c r="R17" s="11"/>
      <c r="S17" s="11"/>
    </row>
    <row r="18" spans="1:19" ht="25.5" x14ac:dyDescent="0.35">
      <c r="A18" s="17"/>
      <c r="B18" s="11"/>
      <c r="C18" s="11"/>
      <c r="D18" s="22"/>
      <c r="E18" s="23"/>
      <c r="F18" s="11"/>
      <c r="G18" s="20"/>
      <c r="H18" s="68" t="s">
        <v>55</v>
      </c>
      <c r="I18" s="11"/>
      <c r="J18" s="15"/>
      <c r="K18" s="16" t="s">
        <v>511</v>
      </c>
      <c r="L18" s="25" t="s">
        <v>27</v>
      </c>
      <c r="M18" s="19"/>
      <c r="N18" s="2" t="s">
        <v>22</v>
      </c>
      <c r="O18" s="11"/>
      <c r="P18" s="11"/>
      <c r="Q18" s="11"/>
      <c r="R18" s="11"/>
      <c r="S18" s="11">
        <v>112022113253</v>
      </c>
    </row>
    <row r="19" spans="1:19" x14ac:dyDescent="0.35">
      <c r="A19" s="17"/>
      <c r="B19" s="11"/>
      <c r="C19" s="11"/>
      <c r="D19" s="22"/>
      <c r="E19" s="23"/>
      <c r="F19" s="11"/>
      <c r="G19" s="20"/>
      <c r="H19" s="68" t="s">
        <v>57</v>
      </c>
      <c r="I19" s="11"/>
      <c r="J19" s="15"/>
      <c r="K19" s="16" t="s">
        <v>512</v>
      </c>
      <c r="L19" s="25" t="s">
        <v>27</v>
      </c>
      <c r="M19" s="19"/>
      <c r="N19" s="2" t="s">
        <v>22</v>
      </c>
      <c r="O19" s="11"/>
      <c r="P19" s="11"/>
      <c r="Q19" s="11"/>
      <c r="R19" s="11"/>
      <c r="S19" s="11"/>
    </row>
    <row r="20" spans="1:19" x14ac:dyDescent="0.35">
      <c r="A20" s="17"/>
      <c r="B20" s="11"/>
      <c r="C20" s="11"/>
      <c r="D20" s="22"/>
      <c r="E20" s="23"/>
      <c r="F20" s="11"/>
      <c r="G20" s="20"/>
      <c r="H20" s="68" t="s">
        <v>59</v>
      </c>
      <c r="I20" s="11"/>
      <c r="J20" s="15"/>
      <c r="K20" s="16" t="s">
        <v>513</v>
      </c>
      <c r="L20" s="25" t="s">
        <v>27</v>
      </c>
      <c r="M20" s="19"/>
      <c r="N20" s="2" t="s">
        <v>22</v>
      </c>
      <c r="O20" s="11"/>
      <c r="P20" s="11"/>
      <c r="Q20" s="11"/>
      <c r="R20" s="11"/>
      <c r="S20" s="11"/>
    </row>
    <row r="21" spans="1:19" ht="43.5" x14ac:dyDescent="0.35">
      <c r="A21" s="17"/>
      <c r="B21" s="11"/>
      <c r="C21" s="11"/>
      <c r="D21" s="22"/>
      <c r="E21" s="23"/>
      <c r="F21" s="11"/>
      <c r="G21" s="20"/>
      <c r="H21" s="68" t="s">
        <v>61</v>
      </c>
      <c r="I21" s="11"/>
      <c r="J21" s="15"/>
      <c r="K21" s="121" t="s">
        <v>514</v>
      </c>
      <c r="L21" s="25" t="s">
        <v>27</v>
      </c>
      <c r="M21" s="19"/>
      <c r="N21" s="2" t="s">
        <v>22</v>
      </c>
      <c r="O21" s="11"/>
      <c r="P21" s="11"/>
      <c r="Q21" s="11"/>
      <c r="R21" s="11"/>
      <c r="S21" s="11"/>
    </row>
    <row r="22" spans="1:19" ht="29" x14ac:dyDescent="0.35">
      <c r="A22" s="17"/>
      <c r="B22" s="11"/>
      <c r="C22" s="11"/>
      <c r="D22" s="22"/>
      <c r="E22" s="23"/>
      <c r="F22" s="11"/>
      <c r="G22" s="20"/>
      <c r="H22" s="68" t="s">
        <v>161</v>
      </c>
      <c r="I22" s="11"/>
      <c r="J22" s="15"/>
      <c r="K22" s="121" t="s">
        <v>515</v>
      </c>
      <c r="L22" s="25" t="s">
        <v>27</v>
      </c>
      <c r="M22" s="19"/>
      <c r="N22" s="2" t="s">
        <v>22</v>
      </c>
      <c r="O22" s="11"/>
      <c r="P22" s="11"/>
      <c r="Q22" s="11"/>
      <c r="R22" s="11"/>
      <c r="S22" s="11"/>
    </row>
    <row r="23" spans="1:19" ht="29" x14ac:dyDescent="0.35">
      <c r="K23" s="121" t="s">
        <v>516</v>
      </c>
      <c r="L23" s="25" t="s">
        <v>27</v>
      </c>
      <c r="M23" s="19"/>
      <c r="N23" s="2" t="s">
        <v>22</v>
      </c>
      <c r="S23">
        <v>112021199540</v>
      </c>
    </row>
    <row r="24" spans="1:19" ht="72.5" x14ac:dyDescent="0.35">
      <c r="K24" s="121" t="s">
        <v>517</v>
      </c>
      <c r="L24" s="25" t="s">
        <v>27</v>
      </c>
      <c r="M24" s="19"/>
      <c r="N24" s="2" t="s">
        <v>22</v>
      </c>
    </row>
    <row r="25" spans="1:19" ht="101.5" x14ac:dyDescent="0.35">
      <c r="K25" s="121" t="s">
        <v>518</v>
      </c>
      <c r="L25" s="25" t="s">
        <v>27</v>
      </c>
      <c r="M25" s="19"/>
      <c r="N25" s="2" t="s">
        <v>22</v>
      </c>
    </row>
    <row r="26" spans="1:19" ht="58" x14ac:dyDescent="0.35">
      <c r="K26" s="202" t="s">
        <v>519</v>
      </c>
      <c r="L26" s="25" t="s">
        <v>27</v>
      </c>
      <c r="M26" s="19"/>
      <c r="N26" s="2" t="s">
        <v>22</v>
      </c>
    </row>
    <row r="27" spans="1:19" ht="43.5" x14ac:dyDescent="0.35">
      <c r="K27" s="202" t="s">
        <v>520</v>
      </c>
      <c r="L27" s="25" t="s">
        <v>27</v>
      </c>
      <c r="M27" s="19"/>
      <c r="N27" s="2" t="s">
        <v>22</v>
      </c>
    </row>
    <row r="28" spans="1:19" ht="43.5" x14ac:dyDescent="0.35">
      <c r="K28" s="203" t="s">
        <v>521</v>
      </c>
      <c r="L28" s="25" t="s">
        <v>27</v>
      </c>
      <c r="M28" s="19"/>
      <c r="N28" s="2" t="s">
        <v>22</v>
      </c>
    </row>
    <row r="29" spans="1:19" ht="43.5" x14ac:dyDescent="0.35">
      <c r="K29" s="203" t="s">
        <v>522</v>
      </c>
      <c r="L29" s="25" t="s">
        <v>27</v>
      </c>
      <c r="M29" s="19"/>
      <c r="N29" s="2" t="s">
        <v>77</v>
      </c>
    </row>
    <row r="30" spans="1:19" ht="43.5" x14ac:dyDescent="0.35">
      <c r="K30" s="203" t="s">
        <v>521</v>
      </c>
      <c r="L30" s="25" t="s">
        <v>27</v>
      </c>
      <c r="M30" s="19"/>
      <c r="N30" s="2" t="s">
        <v>77</v>
      </c>
    </row>
    <row r="31" spans="1:19" ht="43.5" x14ac:dyDescent="0.35">
      <c r="K31" s="203" t="s">
        <v>522</v>
      </c>
      <c r="L31" s="25" t="s">
        <v>27</v>
      </c>
      <c r="M31" s="19"/>
      <c r="N31" s="2" t="s">
        <v>77</v>
      </c>
    </row>
    <row r="32" spans="1:19" ht="87" x14ac:dyDescent="0.35">
      <c r="K32" s="204" t="s">
        <v>523</v>
      </c>
      <c r="L32" s="25" t="s">
        <v>27</v>
      </c>
      <c r="M32" s="19"/>
      <c r="N32" s="2" t="s">
        <v>343</v>
      </c>
    </row>
    <row r="33" spans="11:19" ht="87" x14ac:dyDescent="0.35">
      <c r="K33" s="204" t="s">
        <v>524</v>
      </c>
      <c r="L33" s="25" t="s">
        <v>27</v>
      </c>
      <c r="M33" s="19"/>
      <c r="N33" s="2" t="s">
        <v>343</v>
      </c>
    </row>
    <row r="34" spans="11:19" ht="29" x14ac:dyDescent="0.35">
      <c r="K34" s="121" t="s">
        <v>525</v>
      </c>
      <c r="L34" s="25" t="s">
        <v>27</v>
      </c>
      <c r="M34" s="19"/>
      <c r="N34" s="2" t="s">
        <v>22</v>
      </c>
      <c r="S34" s="214">
        <v>112022103102</v>
      </c>
    </row>
    <row r="35" spans="11:19" ht="29" x14ac:dyDescent="0.35">
      <c r="K35" s="121" t="s">
        <v>526</v>
      </c>
      <c r="L35" s="25" t="s">
        <v>27</v>
      </c>
      <c r="M35" s="19"/>
      <c r="N35" s="2" t="s">
        <v>22</v>
      </c>
    </row>
    <row r="36" spans="11:19" ht="43.5" x14ac:dyDescent="0.35">
      <c r="K36" s="205" t="s">
        <v>527</v>
      </c>
      <c r="L36" s="25" t="s">
        <v>27</v>
      </c>
      <c r="M36" s="19"/>
      <c r="N36" s="2" t="s">
        <v>22</v>
      </c>
    </row>
    <row r="37" spans="11:19" ht="58" x14ac:dyDescent="0.35">
      <c r="K37" s="121" t="s">
        <v>528</v>
      </c>
      <c r="L37" s="25" t="s">
        <v>27</v>
      </c>
      <c r="M37" s="19"/>
      <c r="N37" s="2" t="s">
        <v>22</v>
      </c>
      <c r="S37" s="214">
        <v>112022113255</v>
      </c>
    </row>
    <row r="38" spans="11:19" ht="72.5" x14ac:dyDescent="0.35">
      <c r="K38" s="121" t="s">
        <v>529</v>
      </c>
      <c r="L38" s="25" t="s">
        <v>27</v>
      </c>
      <c r="M38" s="19"/>
      <c r="N38" s="2" t="s">
        <v>343</v>
      </c>
    </row>
    <row r="39" spans="11:19" ht="43.5" x14ac:dyDescent="0.35">
      <c r="K39" s="206" t="s">
        <v>530</v>
      </c>
      <c r="L39" s="25" t="s">
        <v>27</v>
      </c>
      <c r="M39" s="19"/>
      <c r="N39" s="2" t="s">
        <v>22</v>
      </c>
    </row>
    <row r="40" spans="11:19" ht="29" x14ac:dyDescent="0.35">
      <c r="K40" s="121" t="s">
        <v>531</v>
      </c>
      <c r="L40" s="25" t="s">
        <v>27</v>
      </c>
      <c r="M40" s="19"/>
      <c r="N40" s="2" t="s">
        <v>22</v>
      </c>
    </row>
    <row r="41" spans="11:19" ht="43.5" x14ac:dyDescent="0.35">
      <c r="K41" s="121" t="s">
        <v>532</v>
      </c>
      <c r="L41" s="25" t="s">
        <v>27</v>
      </c>
      <c r="M41" s="19"/>
      <c r="N41" s="2" t="s">
        <v>22</v>
      </c>
    </row>
    <row r="42" spans="11:19" ht="101.5" x14ac:dyDescent="0.35">
      <c r="K42" s="207" t="s">
        <v>533</v>
      </c>
      <c r="L42" s="25" t="s">
        <v>27</v>
      </c>
      <c r="M42" s="19"/>
      <c r="N42" s="2" t="s">
        <v>22</v>
      </c>
    </row>
    <row r="43" spans="11:19" ht="87" x14ac:dyDescent="0.35">
      <c r="K43" s="208" t="s">
        <v>534</v>
      </c>
      <c r="L43" s="25" t="s">
        <v>27</v>
      </c>
      <c r="M43" s="19"/>
      <c r="N43" s="2" t="s">
        <v>22</v>
      </c>
    </row>
    <row r="44" spans="11:19" ht="43.5" x14ac:dyDescent="0.35">
      <c r="K44" s="207" t="s">
        <v>535</v>
      </c>
      <c r="L44" s="25" t="s">
        <v>27</v>
      </c>
      <c r="M44" s="19"/>
      <c r="N44" s="2" t="s">
        <v>22</v>
      </c>
    </row>
    <row r="45" spans="11:19" ht="43.5" x14ac:dyDescent="0.35">
      <c r="K45" s="209" t="s">
        <v>536</v>
      </c>
      <c r="L45" s="25" t="s">
        <v>27</v>
      </c>
      <c r="M45" s="19"/>
      <c r="N45" s="2" t="s">
        <v>343</v>
      </c>
    </row>
    <row r="46" spans="11:19" ht="43.5" x14ac:dyDescent="0.35">
      <c r="K46" s="210" t="s">
        <v>537</v>
      </c>
      <c r="L46" s="25" t="s">
        <v>27</v>
      </c>
      <c r="M46" s="19"/>
      <c r="N46" s="2" t="s">
        <v>343</v>
      </c>
    </row>
    <row r="47" spans="11:19" ht="29" x14ac:dyDescent="0.35">
      <c r="K47" s="121" t="s">
        <v>538</v>
      </c>
      <c r="L47" s="25" t="s">
        <v>27</v>
      </c>
      <c r="M47" s="19"/>
      <c r="N47" s="2" t="s">
        <v>343</v>
      </c>
    </row>
    <row r="48" spans="11:19" ht="58" x14ac:dyDescent="0.35">
      <c r="K48" s="121" t="s">
        <v>539</v>
      </c>
      <c r="L48" s="25" t="s">
        <v>27</v>
      </c>
      <c r="M48" s="19"/>
      <c r="N48" s="2" t="s">
        <v>343</v>
      </c>
    </row>
    <row r="49" spans="11:14" ht="72.5" x14ac:dyDescent="0.35">
      <c r="K49" s="211" t="s">
        <v>540</v>
      </c>
      <c r="L49" s="25" t="s">
        <v>27</v>
      </c>
      <c r="M49" s="19"/>
      <c r="N49" s="2" t="s">
        <v>343</v>
      </c>
    </row>
    <row r="50" spans="11:14" ht="87" x14ac:dyDescent="0.35">
      <c r="K50" s="211" t="s">
        <v>541</v>
      </c>
      <c r="L50" s="25" t="s">
        <v>27</v>
      </c>
      <c r="M50" s="19"/>
      <c r="N50" s="2" t="s">
        <v>343</v>
      </c>
    </row>
    <row r="51" spans="11:14" ht="87" x14ac:dyDescent="0.35">
      <c r="K51" s="211" t="s">
        <v>542</v>
      </c>
      <c r="L51" s="25" t="s">
        <v>27</v>
      </c>
      <c r="M51" s="19"/>
      <c r="N51" s="2" t="s">
        <v>343</v>
      </c>
    </row>
    <row r="52" spans="11:14" ht="29" x14ac:dyDescent="0.35">
      <c r="K52" s="121" t="s">
        <v>543</v>
      </c>
      <c r="L52" s="25" t="s">
        <v>27</v>
      </c>
      <c r="M52" s="19"/>
      <c r="N52" s="2" t="s">
        <v>22</v>
      </c>
    </row>
    <row r="53" spans="11:14" ht="87" x14ac:dyDescent="0.35">
      <c r="K53" s="212" t="s">
        <v>544</v>
      </c>
      <c r="L53" s="25" t="s">
        <v>27</v>
      </c>
      <c r="M53" s="19"/>
      <c r="N53" s="2" t="s">
        <v>22</v>
      </c>
    </row>
    <row r="54" spans="11:14" ht="29" x14ac:dyDescent="0.35">
      <c r="K54" s="121" t="s">
        <v>545</v>
      </c>
      <c r="L54" s="25" t="s">
        <v>27</v>
      </c>
      <c r="M54" s="19"/>
      <c r="N54" s="2" t="s">
        <v>22</v>
      </c>
    </row>
    <row r="55" spans="11:14" ht="29" x14ac:dyDescent="0.35">
      <c r="K55" s="121" t="s">
        <v>546</v>
      </c>
      <c r="L55" s="25" t="s">
        <v>27</v>
      </c>
      <c r="M55" s="19"/>
      <c r="N55" s="2" t="s">
        <v>22</v>
      </c>
    </row>
    <row r="56" spans="11:14" ht="43.5" x14ac:dyDescent="0.35">
      <c r="K56" s="121" t="s">
        <v>547</v>
      </c>
      <c r="L56" s="25" t="s">
        <v>27</v>
      </c>
      <c r="M56" s="19"/>
      <c r="N56" s="2" t="s">
        <v>22</v>
      </c>
    </row>
    <row r="57" spans="11:14" ht="58" x14ac:dyDescent="0.35">
      <c r="K57" s="121" t="s">
        <v>548</v>
      </c>
      <c r="L57" s="25" t="s">
        <v>27</v>
      </c>
      <c r="M57" s="19"/>
      <c r="N57" s="2" t="s">
        <v>22</v>
      </c>
    </row>
    <row r="58" spans="11:14" ht="38" x14ac:dyDescent="0.35">
      <c r="K58" s="16" t="s">
        <v>549</v>
      </c>
      <c r="L58" s="25" t="s">
        <v>27</v>
      </c>
      <c r="M58" s="19"/>
      <c r="N58" s="2" t="s">
        <v>77</v>
      </c>
    </row>
  </sheetData>
  <autoFilter ref="A1:S58" xr:uid="{0555BE20-9E4E-404E-BB98-3A9A4E57CB0D}"/>
  <phoneticPr fontId="12" type="noConversion"/>
  <conditionalFormatting sqref="A3:C22">
    <cfRule type="expression" dxfId="15" priority="1" stopIfTrue="1">
      <formula>(#REF! = "Not First Step")</formula>
    </cfRule>
  </conditionalFormatting>
  <conditionalFormatting sqref="B2:C2">
    <cfRule type="expression" dxfId="14" priority="8" stopIfTrue="1">
      <formula>(#REF! = "Not First Step")</formula>
    </cfRule>
  </conditionalFormatting>
  <conditionalFormatting sqref="F2:F5">
    <cfRule type="expression" dxfId="13" priority="5" stopIfTrue="1">
      <formula>(#REF! = "Not First Step")</formula>
    </cfRule>
  </conditionalFormatting>
  <conditionalFormatting sqref="F7:F14">
    <cfRule type="expression" dxfId="12" priority="6" stopIfTrue="1">
      <formula>(#REF! = "Not First Step")</formula>
    </cfRule>
  </conditionalFormatting>
  <dataValidations count="2">
    <dataValidation type="list" allowBlank="1" showInputMessage="1" showErrorMessage="1" sqref="F1:F22" xr:uid="{6FFAEF51-3B58-451F-8C44-D8095C4226A4}">
      <formula1>Status</formula1>
    </dataValidation>
    <dataValidation type="list" allowBlank="1" showInputMessage="1" showErrorMessage="1" sqref="N2:N58" xr:uid="{F880D010-8FE1-4DEC-85D1-8CD5D98B2B85}">
      <formula1>"Pass,Fail,Deferred,Not Valid,Not Applicable,In Progress,No Run"</formula1>
    </dataValidation>
  </dataValidations>
  <pageMargins left="0.7" right="0.7" top="0.75" bottom="0.75" header="0.3" footer="0.3"/>
  <pageSetup orientation="portrait" horizontalDpi="200" verticalDpi="200"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422FF-DFAE-41DD-AE98-8F4D6E6EC44F}">
  <dimension ref="A1:S43"/>
  <sheetViews>
    <sheetView topLeftCell="B27" workbookViewId="0">
      <selection activeCell="N13" sqref="N13:N34"/>
    </sheetView>
  </sheetViews>
  <sheetFormatPr defaultRowHeight="14.5" x14ac:dyDescent="0.35"/>
  <cols>
    <col min="1" max="1" width="24.54296875" customWidth="1"/>
    <col min="2" max="2" width="14.453125" customWidth="1"/>
    <col min="3" max="3" width="11.54296875" customWidth="1"/>
    <col min="4" max="4" width="9.453125" customWidth="1"/>
    <col min="5" max="5" width="13.453125" customWidth="1"/>
    <col min="6" max="6" width="10.453125" customWidth="1"/>
    <col min="7" max="7" width="14.54296875" customWidth="1"/>
    <col min="8" max="8" width="10.453125" customWidth="1"/>
    <col min="9" max="9" width="24.54296875" customWidth="1"/>
    <col min="10" max="10" width="16.54296875" customWidth="1"/>
    <col min="11" max="11" width="58.81640625" style="106" customWidth="1"/>
    <col min="12" max="12" width="26.54296875" customWidth="1"/>
    <col min="13" max="13" width="11.453125" customWidth="1"/>
    <col min="14" max="14" width="15.54296875" customWidth="1"/>
    <col min="19" max="19" width="18.54296875" customWidth="1"/>
  </cols>
  <sheetData>
    <row r="1" spans="1:19" ht="26" x14ac:dyDescent="0.35">
      <c r="A1" s="58" t="s">
        <v>0</v>
      </c>
      <c r="B1" s="58" t="s">
        <v>1</v>
      </c>
      <c r="C1" s="58" t="s">
        <v>2</v>
      </c>
      <c r="D1" s="58" t="s">
        <v>3</v>
      </c>
      <c r="E1" s="58" t="s">
        <v>4</v>
      </c>
      <c r="F1" s="58" t="s">
        <v>5</v>
      </c>
      <c r="G1" s="58" t="s">
        <v>6</v>
      </c>
      <c r="H1" s="59" t="s">
        <v>7</v>
      </c>
      <c r="I1" s="59" t="s">
        <v>8</v>
      </c>
      <c r="J1" s="59" t="s">
        <v>9</v>
      </c>
      <c r="K1" s="84" t="s">
        <v>10</v>
      </c>
      <c r="L1" s="60" t="s">
        <v>11</v>
      </c>
      <c r="M1" s="60" t="s">
        <v>12</v>
      </c>
      <c r="N1" s="59" t="s">
        <v>13</v>
      </c>
      <c r="O1" s="59" t="s">
        <v>14</v>
      </c>
      <c r="P1" s="59" t="s">
        <v>15</v>
      </c>
      <c r="Q1" s="59" t="s">
        <v>16</v>
      </c>
      <c r="R1" s="59" t="s">
        <v>17</v>
      </c>
      <c r="S1" s="59" t="s">
        <v>18</v>
      </c>
    </row>
    <row r="2" spans="1:19" ht="25" x14ac:dyDescent="0.35">
      <c r="A2" s="84"/>
      <c r="B2" s="84"/>
      <c r="C2" s="84"/>
      <c r="D2" s="84"/>
      <c r="E2" s="84"/>
      <c r="F2" s="84"/>
      <c r="G2" s="84"/>
      <c r="H2" s="84" t="s">
        <v>23</v>
      </c>
      <c r="I2" s="84"/>
      <c r="J2" s="84" t="s">
        <v>550</v>
      </c>
      <c r="K2" s="165" t="s">
        <v>31</v>
      </c>
      <c r="L2" s="19" t="s">
        <v>27</v>
      </c>
      <c r="M2" s="60"/>
      <c r="N2" s="59" t="s">
        <v>551</v>
      </c>
      <c r="O2" s="59"/>
      <c r="P2" s="59"/>
      <c r="Q2" s="59"/>
      <c r="R2" s="59"/>
      <c r="S2" s="59"/>
    </row>
    <row r="3" spans="1:19" ht="25" x14ac:dyDescent="0.35">
      <c r="A3" s="84"/>
      <c r="B3" s="84"/>
      <c r="C3" s="84"/>
      <c r="D3" s="84"/>
      <c r="E3" s="84"/>
      <c r="F3" s="84"/>
      <c r="G3" s="84"/>
      <c r="H3" s="84" t="s">
        <v>28</v>
      </c>
      <c r="I3" s="84"/>
      <c r="J3" s="84"/>
      <c r="K3" s="165" t="s">
        <v>33</v>
      </c>
      <c r="L3" s="19" t="s">
        <v>27</v>
      </c>
      <c r="M3" s="98"/>
      <c r="N3" s="99" t="s">
        <v>22</v>
      </c>
      <c r="O3" s="84"/>
      <c r="P3" s="84"/>
      <c r="Q3" s="84"/>
      <c r="R3" s="84"/>
      <c r="S3" s="84"/>
    </row>
    <row r="4" spans="1:19" ht="25" x14ac:dyDescent="0.35">
      <c r="A4" s="84"/>
      <c r="B4" s="84"/>
      <c r="C4" s="84"/>
      <c r="D4" s="84"/>
      <c r="E4" s="84"/>
      <c r="F4" s="84"/>
      <c r="G4" s="84"/>
      <c r="H4" s="84" t="s">
        <v>30</v>
      </c>
      <c r="I4" s="84"/>
      <c r="J4" s="84"/>
      <c r="K4" s="165" t="s">
        <v>35</v>
      </c>
      <c r="L4" s="19" t="s">
        <v>27</v>
      </c>
      <c r="M4" s="98"/>
      <c r="N4" s="99" t="s">
        <v>22</v>
      </c>
      <c r="O4" s="84"/>
      <c r="P4" s="84"/>
      <c r="Q4" s="84"/>
      <c r="R4" s="84"/>
      <c r="S4" s="84"/>
    </row>
    <row r="5" spans="1:19" ht="25" x14ac:dyDescent="0.35">
      <c r="A5" s="84"/>
      <c r="B5" s="84"/>
      <c r="C5" s="84"/>
      <c r="D5" s="84"/>
      <c r="E5" s="84"/>
      <c r="F5" s="84"/>
      <c r="G5" s="84"/>
      <c r="H5" s="84" t="s">
        <v>32</v>
      </c>
      <c r="I5" s="84"/>
      <c r="J5" s="84"/>
      <c r="K5" s="165" t="s">
        <v>37</v>
      </c>
      <c r="L5" s="19" t="s">
        <v>27</v>
      </c>
      <c r="M5" s="98"/>
      <c r="N5" s="99" t="s">
        <v>22</v>
      </c>
      <c r="O5" s="84"/>
      <c r="P5" s="84"/>
      <c r="Q5" s="84"/>
      <c r="R5" s="84"/>
      <c r="S5" s="84"/>
    </row>
    <row r="6" spans="1:19" ht="25" x14ac:dyDescent="0.35">
      <c r="A6" s="84"/>
      <c r="B6" s="84"/>
      <c r="C6" s="84"/>
      <c r="D6" s="84"/>
      <c r="E6" s="84"/>
      <c r="F6" s="84"/>
      <c r="G6" s="84"/>
      <c r="H6" s="84" t="s">
        <v>34</v>
      </c>
      <c r="I6" s="84"/>
      <c r="J6" s="84"/>
      <c r="K6" s="150" t="s">
        <v>39</v>
      </c>
      <c r="L6" s="19" t="s">
        <v>27</v>
      </c>
      <c r="M6" s="98"/>
      <c r="N6" s="99" t="s">
        <v>22</v>
      </c>
      <c r="O6" s="84"/>
      <c r="P6" s="84"/>
      <c r="Q6" s="84"/>
      <c r="R6" s="84"/>
      <c r="S6" s="84"/>
    </row>
    <row r="7" spans="1:19" x14ac:dyDescent="0.35">
      <c r="A7" s="84"/>
      <c r="B7" s="84"/>
      <c r="C7" s="84"/>
      <c r="D7" s="84"/>
      <c r="E7" s="84"/>
      <c r="F7" s="84"/>
      <c r="G7" s="84"/>
      <c r="H7" s="84" t="s">
        <v>36</v>
      </c>
      <c r="I7" s="84"/>
      <c r="J7" s="84"/>
      <c r="K7" s="150" t="s">
        <v>41</v>
      </c>
      <c r="L7" s="19" t="s">
        <v>27</v>
      </c>
      <c r="M7" s="98"/>
      <c r="N7" s="99" t="s">
        <v>22</v>
      </c>
      <c r="O7" s="84"/>
      <c r="P7" s="84"/>
      <c r="Q7" s="84"/>
      <c r="R7" s="84"/>
      <c r="S7" s="84"/>
    </row>
    <row r="8" spans="1:19" ht="16.5" customHeight="1" x14ac:dyDescent="0.35">
      <c r="A8" s="84"/>
      <c r="B8" s="84"/>
      <c r="C8" s="84"/>
      <c r="D8" s="84"/>
      <c r="E8" s="84"/>
      <c r="F8" s="84"/>
      <c r="G8" s="84"/>
      <c r="H8" s="84" t="s">
        <v>148</v>
      </c>
      <c r="I8" s="84"/>
      <c r="J8" s="84"/>
      <c r="K8" s="150"/>
      <c r="L8" s="19" t="s">
        <v>27</v>
      </c>
      <c r="M8" s="98"/>
      <c r="N8" s="99" t="s">
        <v>22</v>
      </c>
      <c r="O8" s="84"/>
      <c r="P8" s="84"/>
      <c r="Q8" s="84"/>
      <c r="R8" s="84"/>
      <c r="S8" s="84"/>
    </row>
    <row r="9" spans="1:19" ht="16.5" customHeight="1" x14ac:dyDescent="0.35">
      <c r="A9" s="84"/>
      <c r="B9" s="84"/>
      <c r="C9" s="84"/>
      <c r="D9" s="84"/>
      <c r="E9" s="84"/>
      <c r="F9" s="84"/>
      <c r="G9" s="84"/>
      <c r="H9" s="84" t="s">
        <v>150</v>
      </c>
      <c r="I9" s="84"/>
      <c r="J9" s="84" t="s">
        <v>552</v>
      </c>
      <c r="K9" s="165" t="s">
        <v>31</v>
      </c>
      <c r="L9" s="19" t="s">
        <v>27</v>
      </c>
      <c r="M9" s="98"/>
      <c r="N9" s="99" t="s">
        <v>22</v>
      </c>
      <c r="O9" s="84"/>
      <c r="P9" s="84"/>
      <c r="Q9" s="84"/>
      <c r="R9" s="84"/>
      <c r="S9" s="84"/>
    </row>
    <row r="10" spans="1:19" ht="16.5" customHeight="1" x14ac:dyDescent="0.35">
      <c r="A10" s="84"/>
      <c r="B10" s="84"/>
      <c r="C10" s="84"/>
      <c r="D10" s="84"/>
      <c r="E10" s="84"/>
      <c r="F10" s="84"/>
      <c r="G10" s="84"/>
      <c r="H10" s="84" t="s">
        <v>44</v>
      </c>
      <c r="I10" s="84"/>
      <c r="J10" s="84"/>
      <c r="K10" s="165" t="s">
        <v>33</v>
      </c>
      <c r="L10" s="19" t="s">
        <v>27</v>
      </c>
      <c r="M10" s="98"/>
      <c r="N10" s="99" t="s">
        <v>22</v>
      </c>
      <c r="O10" s="84"/>
      <c r="P10" s="84"/>
      <c r="Q10" s="84"/>
      <c r="R10" s="84"/>
      <c r="S10" s="84"/>
    </row>
    <row r="11" spans="1:19" ht="16.5" customHeight="1" x14ac:dyDescent="0.35">
      <c r="A11" s="84"/>
      <c r="B11" s="84"/>
      <c r="C11" s="84"/>
      <c r="D11" s="84"/>
      <c r="E11" s="84"/>
      <c r="F11" s="84"/>
      <c r="G11" s="84"/>
      <c r="H11" s="84" t="s">
        <v>46</v>
      </c>
      <c r="I11" s="84"/>
      <c r="J11" s="84"/>
      <c r="K11" s="165" t="s">
        <v>35</v>
      </c>
      <c r="L11" s="19" t="s">
        <v>27</v>
      </c>
      <c r="M11" s="98"/>
      <c r="N11" s="99" t="s">
        <v>22</v>
      </c>
      <c r="O11" s="84"/>
      <c r="P11" s="84"/>
      <c r="Q11" s="84"/>
      <c r="R11" s="84"/>
      <c r="S11" s="84"/>
    </row>
    <row r="12" spans="1:19" ht="16.5" customHeight="1" x14ac:dyDescent="0.35">
      <c r="A12" s="84"/>
      <c r="B12" s="84"/>
      <c r="C12" s="84"/>
      <c r="D12" s="84"/>
      <c r="E12" s="84"/>
      <c r="F12" s="84"/>
      <c r="G12" s="84"/>
      <c r="H12" s="84" t="s">
        <v>48</v>
      </c>
      <c r="I12" s="84"/>
      <c r="J12" s="84"/>
      <c r="K12" s="165" t="s">
        <v>37</v>
      </c>
      <c r="L12" s="19" t="s">
        <v>27</v>
      </c>
      <c r="M12" s="98"/>
      <c r="N12" s="99" t="s">
        <v>22</v>
      </c>
      <c r="O12" s="84"/>
      <c r="P12" s="84"/>
      <c r="Q12" s="84"/>
      <c r="R12" s="84"/>
      <c r="S12" s="84"/>
    </row>
    <row r="13" spans="1:19" ht="143.5" x14ac:dyDescent="0.35">
      <c r="A13" s="70" t="s">
        <v>138</v>
      </c>
      <c r="B13" s="64"/>
      <c r="C13" s="64"/>
      <c r="D13" s="65"/>
      <c r="E13" s="66"/>
      <c r="F13" s="64"/>
      <c r="G13" s="67"/>
      <c r="H13" s="68" t="s">
        <v>30</v>
      </c>
      <c r="I13" s="69" t="s">
        <v>139</v>
      </c>
      <c r="J13" s="94" t="s">
        <v>140</v>
      </c>
      <c r="K13" s="93" t="s">
        <v>141</v>
      </c>
      <c r="L13" s="72" t="s">
        <v>27</v>
      </c>
      <c r="M13" s="2"/>
      <c r="N13" s="2" t="s">
        <v>22</v>
      </c>
    </row>
    <row r="14" spans="1:19" ht="26" x14ac:dyDescent="0.35">
      <c r="A14" s="2"/>
      <c r="B14" s="2"/>
      <c r="C14" s="2"/>
      <c r="D14" s="2"/>
      <c r="E14" s="2"/>
      <c r="F14" s="2"/>
      <c r="G14" s="2"/>
      <c r="H14" s="68" t="s">
        <v>32</v>
      </c>
      <c r="I14" s="2"/>
      <c r="J14" s="2"/>
      <c r="K14" s="93" t="s">
        <v>142</v>
      </c>
      <c r="L14" s="72" t="s">
        <v>27</v>
      </c>
      <c r="M14" s="2"/>
      <c r="N14" s="2" t="s">
        <v>22</v>
      </c>
    </row>
    <row r="15" spans="1:19" ht="26" x14ac:dyDescent="0.35">
      <c r="A15" s="2"/>
      <c r="B15" s="2"/>
      <c r="C15" s="2"/>
      <c r="D15" s="2"/>
      <c r="E15" s="2"/>
      <c r="F15" s="2"/>
      <c r="G15" s="2"/>
      <c r="H15" s="68" t="s">
        <v>34</v>
      </c>
      <c r="I15" s="2"/>
      <c r="J15" s="2"/>
      <c r="K15" s="93" t="s">
        <v>143</v>
      </c>
      <c r="L15" s="72" t="s">
        <v>27</v>
      </c>
      <c r="M15" s="2"/>
      <c r="N15" s="2" t="s">
        <v>22</v>
      </c>
    </row>
    <row r="16" spans="1:19" ht="26" x14ac:dyDescent="0.35">
      <c r="A16" s="2"/>
      <c r="B16" s="2"/>
      <c r="C16" s="2"/>
      <c r="D16" s="2"/>
      <c r="E16" s="2"/>
      <c r="F16" s="2"/>
      <c r="G16" s="2"/>
      <c r="H16" s="68" t="s">
        <v>36</v>
      </c>
      <c r="I16" s="2"/>
      <c r="J16" s="2"/>
      <c r="K16" s="93" t="s">
        <v>144</v>
      </c>
      <c r="L16" s="72" t="s">
        <v>27</v>
      </c>
      <c r="M16" s="2"/>
      <c r="N16" s="2" t="s">
        <v>22</v>
      </c>
    </row>
    <row r="17" spans="1:14" ht="26" x14ac:dyDescent="0.35">
      <c r="A17" s="78"/>
      <c r="B17" s="64"/>
      <c r="C17" s="64"/>
      <c r="D17" s="2"/>
      <c r="E17" s="2"/>
      <c r="F17" s="64"/>
      <c r="G17" s="67"/>
      <c r="H17" s="68" t="s">
        <v>38</v>
      </c>
      <c r="I17" s="64"/>
      <c r="J17" s="18"/>
      <c r="K17" s="93" t="s">
        <v>145</v>
      </c>
      <c r="L17" s="72" t="s">
        <v>27</v>
      </c>
      <c r="M17" s="72"/>
      <c r="N17" s="2" t="s">
        <v>22</v>
      </c>
    </row>
    <row r="18" spans="1:14" ht="26" x14ac:dyDescent="0.35">
      <c r="A18" s="2"/>
      <c r="B18" s="2"/>
      <c r="C18" s="2"/>
      <c r="D18" s="2"/>
      <c r="E18" s="2"/>
      <c r="F18" s="2"/>
      <c r="G18" s="2"/>
      <c r="H18" s="68" t="s">
        <v>40</v>
      </c>
      <c r="I18" s="2"/>
      <c r="J18" s="2"/>
      <c r="K18" s="93" t="s">
        <v>146</v>
      </c>
      <c r="L18" s="72" t="s">
        <v>27</v>
      </c>
      <c r="M18" s="2"/>
      <c r="N18" s="2" t="s">
        <v>22</v>
      </c>
    </row>
    <row r="19" spans="1:14" ht="26" x14ac:dyDescent="0.35">
      <c r="A19" s="2"/>
      <c r="B19" s="2"/>
      <c r="C19" s="2"/>
      <c r="D19" s="2"/>
      <c r="E19" s="2"/>
      <c r="F19" s="2"/>
      <c r="G19" s="2"/>
      <c r="H19" s="68" t="s">
        <v>42</v>
      </c>
      <c r="I19" s="2"/>
      <c r="J19" s="2"/>
      <c r="K19" s="93" t="s">
        <v>147</v>
      </c>
      <c r="L19" s="72" t="s">
        <v>27</v>
      </c>
      <c r="M19" s="2"/>
      <c r="N19" s="2" t="s">
        <v>22</v>
      </c>
    </row>
    <row r="20" spans="1:14" ht="26" x14ac:dyDescent="0.35">
      <c r="A20" s="2"/>
      <c r="B20" s="2"/>
      <c r="C20" s="2"/>
      <c r="D20" s="2"/>
      <c r="E20" s="2"/>
      <c r="F20" s="2"/>
      <c r="G20" s="2"/>
      <c r="H20" s="68" t="s">
        <v>148</v>
      </c>
      <c r="I20" s="2"/>
      <c r="J20" s="2"/>
      <c r="K20" s="93" t="s">
        <v>149</v>
      </c>
      <c r="L20" s="72" t="s">
        <v>27</v>
      </c>
      <c r="M20" s="2"/>
      <c r="N20" s="2" t="s">
        <v>22</v>
      </c>
    </row>
    <row r="21" spans="1:14" ht="26" x14ac:dyDescent="0.35">
      <c r="A21" s="2"/>
      <c r="B21" s="2"/>
      <c r="C21" s="2"/>
      <c r="D21" s="2"/>
      <c r="E21" s="2"/>
      <c r="F21" s="2"/>
      <c r="G21" s="2"/>
      <c r="H21" s="68" t="s">
        <v>150</v>
      </c>
      <c r="I21" s="2"/>
      <c r="J21" s="2"/>
      <c r="K21" s="93" t="s">
        <v>151</v>
      </c>
      <c r="L21" s="72" t="s">
        <v>27</v>
      </c>
      <c r="M21" s="2"/>
      <c r="N21" s="2" t="s">
        <v>22</v>
      </c>
    </row>
    <row r="22" spans="1:14" x14ac:dyDescent="0.35">
      <c r="A22" s="2"/>
      <c r="B22" s="2"/>
      <c r="C22" s="2"/>
      <c r="D22" s="2"/>
      <c r="E22" s="2"/>
      <c r="F22" s="2"/>
      <c r="G22" s="2"/>
      <c r="H22" s="68" t="s">
        <v>44</v>
      </c>
      <c r="I22" s="2"/>
      <c r="J22" s="2"/>
      <c r="K22" s="93" t="s">
        <v>152</v>
      </c>
      <c r="L22" s="72" t="s">
        <v>27</v>
      </c>
      <c r="M22" s="2"/>
      <c r="N22" s="2" t="s">
        <v>22</v>
      </c>
    </row>
    <row r="23" spans="1:14" x14ac:dyDescent="0.35">
      <c r="A23" s="2"/>
      <c r="B23" s="2"/>
      <c r="C23" s="2"/>
      <c r="D23" s="2"/>
      <c r="E23" s="2"/>
      <c r="F23" s="2"/>
      <c r="G23" s="2"/>
      <c r="H23" s="68" t="s">
        <v>46</v>
      </c>
      <c r="I23" s="2"/>
      <c r="J23" s="2"/>
      <c r="K23" s="93" t="s">
        <v>153</v>
      </c>
      <c r="L23" s="72" t="s">
        <v>27</v>
      </c>
      <c r="M23" s="2"/>
      <c r="N23" s="2" t="s">
        <v>22</v>
      </c>
    </row>
    <row r="24" spans="1:14" x14ac:dyDescent="0.35">
      <c r="A24" s="2"/>
      <c r="B24" s="2"/>
      <c r="C24" s="2"/>
      <c r="D24" s="2"/>
      <c r="E24" s="2"/>
      <c r="F24" s="2"/>
      <c r="G24" s="2"/>
      <c r="H24" s="68" t="s">
        <v>48</v>
      </c>
      <c r="I24" s="2"/>
      <c r="J24" s="2"/>
      <c r="K24" s="93" t="s">
        <v>154</v>
      </c>
      <c r="L24" s="72" t="s">
        <v>27</v>
      </c>
      <c r="M24" s="2"/>
      <c r="N24" s="2" t="s">
        <v>22</v>
      </c>
    </row>
    <row r="25" spans="1:14" x14ac:dyDescent="0.35">
      <c r="A25" s="2"/>
      <c r="B25" s="2"/>
      <c r="C25" s="2"/>
      <c r="D25" s="2"/>
      <c r="E25" s="2"/>
      <c r="F25" s="2"/>
      <c r="G25" s="2"/>
      <c r="H25" s="68" t="s">
        <v>51</v>
      </c>
      <c r="I25" s="2"/>
      <c r="J25" s="2"/>
      <c r="K25" s="56" t="s">
        <v>155</v>
      </c>
      <c r="L25" s="72" t="s">
        <v>27</v>
      </c>
      <c r="M25" s="2"/>
      <c r="N25" s="2" t="s">
        <v>22</v>
      </c>
    </row>
    <row r="26" spans="1:14" x14ac:dyDescent="0.35">
      <c r="A26" s="2"/>
      <c r="B26" s="2"/>
      <c r="C26" s="2"/>
      <c r="D26" s="2"/>
      <c r="E26" s="2"/>
      <c r="F26" s="2"/>
      <c r="G26" s="2"/>
      <c r="H26" s="68" t="s">
        <v>53</v>
      </c>
      <c r="I26" s="2"/>
      <c r="J26" s="2"/>
      <c r="K26" s="56" t="s">
        <v>156</v>
      </c>
      <c r="L26" s="72" t="s">
        <v>27</v>
      </c>
      <c r="M26" s="2"/>
      <c r="N26" s="2" t="s">
        <v>22</v>
      </c>
    </row>
    <row r="27" spans="1:14" x14ac:dyDescent="0.35">
      <c r="A27" s="2"/>
      <c r="B27" s="2"/>
      <c r="C27" s="2"/>
      <c r="D27" s="2"/>
      <c r="E27" s="2"/>
      <c r="F27" s="2"/>
      <c r="G27" s="2"/>
      <c r="H27" s="68" t="s">
        <v>55</v>
      </c>
      <c r="I27" s="2"/>
      <c r="J27" s="2"/>
      <c r="K27" s="93" t="s">
        <v>157</v>
      </c>
      <c r="L27" s="72" t="s">
        <v>27</v>
      </c>
      <c r="M27" s="2"/>
      <c r="N27" s="2" t="s">
        <v>22</v>
      </c>
    </row>
    <row r="28" spans="1:14" x14ac:dyDescent="0.35">
      <c r="A28" s="2"/>
      <c r="B28" s="2"/>
      <c r="C28" s="2"/>
      <c r="D28" s="2"/>
      <c r="E28" s="2"/>
      <c r="F28" s="2"/>
      <c r="G28" s="2"/>
      <c r="H28" s="68" t="s">
        <v>57</v>
      </c>
      <c r="I28" s="2"/>
      <c r="J28" s="2"/>
      <c r="K28" s="93" t="s">
        <v>158</v>
      </c>
      <c r="L28" s="72" t="s">
        <v>27</v>
      </c>
      <c r="M28" s="2"/>
      <c r="N28" s="2" t="s">
        <v>22</v>
      </c>
    </row>
    <row r="29" spans="1:14" ht="26" x14ac:dyDescent="0.35">
      <c r="A29" s="2"/>
      <c r="B29" s="2"/>
      <c r="C29" s="2"/>
      <c r="D29" s="2"/>
      <c r="E29" s="2"/>
      <c r="F29" s="2"/>
      <c r="G29" s="2"/>
      <c r="H29" s="68" t="s">
        <v>59</v>
      </c>
      <c r="I29" s="2"/>
      <c r="J29" s="2"/>
      <c r="K29" s="93" t="s">
        <v>159</v>
      </c>
      <c r="L29" s="72" t="s">
        <v>27</v>
      </c>
      <c r="M29" s="2"/>
      <c r="N29" s="2" t="s">
        <v>22</v>
      </c>
    </row>
    <row r="30" spans="1:14" ht="26" x14ac:dyDescent="0.35">
      <c r="A30" s="2"/>
      <c r="B30" s="2"/>
      <c r="C30" s="2"/>
      <c r="D30" s="2"/>
      <c r="E30" s="2"/>
      <c r="F30" s="2"/>
      <c r="G30" s="2"/>
      <c r="H30" s="68" t="s">
        <v>61</v>
      </c>
      <c r="I30" s="2"/>
      <c r="J30" s="2"/>
      <c r="K30" s="93" t="s">
        <v>160</v>
      </c>
      <c r="L30" s="72" t="s">
        <v>27</v>
      </c>
      <c r="M30" s="2"/>
      <c r="N30" s="2" t="s">
        <v>22</v>
      </c>
    </row>
    <row r="31" spans="1:14" ht="26" x14ac:dyDescent="0.35">
      <c r="A31" s="2"/>
      <c r="B31" s="2"/>
      <c r="C31" s="2"/>
      <c r="D31" s="2"/>
      <c r="E31" s="2"/>
      <c r="F31" s="2"/>
      <c r="G31" s="2"/>
      <c r="H31" s="68" t="s">
        <v>161</v>
      </c>
      <c r="I31" s="2"/>
      <c r="J31" s="2"/>
      <c r="K31" s="93" t="s">
        <v>162</v>
      </c>
      <c r="L31" s="72" t="s">
        <v>27</v>
      </c>
      <c r="M31" s="2"/>
      <c r="N31" s="2" t="s">
        <v>22</v>
      </c>
    </row>
    <row r="32" spans="1:14" ht="26" x14ac:dyDescent="0.35">
      <c r="A32" s="2"/>
      <c r="B32" s="2"/>
      <c r="C32" s="2"/>
      <c r="D32" s="2"/>
      <c r="E32" s="2"/>
      <c r="F32" s="2"/>
      <c r="G32" s="2"/>
      <c r="H32" s="68" t="s">
        <v>63</v>
      </c>
      <c r="I32" s="2"/>
      <c r="J32" s="2"/>
      <c r="K32" s="93" t="s">
        <v>163</v>
      </c>
      <c r="L32" s="72" t="s">
        <v>27</v>
      </c>
      <c r="M32" s="2"/>
      <c r="N32" s="2" t="s">
        <v>22</v>
      </c>
    </row>
    <row r="33" spans="1:15" x14ac:dyDescent="0.35">
      <c r="A33" s="78"/>
      <c r="B33" s="64"/>
      <c r="C33" s="64"/>
      <c r="D33" s="2"/>
      <c r="E33" s="2"/>
      <c r="F33" s="64"/>
      <c r="G33" s="67"/>
      <c r="H33" s="68" t="s">
        <v>65</v>
      </c>
      <c r="I33" s="64"/>
      <c r="J33" s="18"/>
      <c r="K33" s="56" t="s">
        <v>164</v>
      </c>
      <c r="L33" s="72" t="s">
        <v>27</v>
      </c>
      <c r="M33" s="2"/>
      <c r="N33" s="2" t="s">
        <v>22</v>
      </c>
    </row>
    <row r="34" spans="1:15" ht="26" x14ac:dyDescent="0.35">
      <c r="A34" s="78"/>
      <c r="B34" s="64"/>
      <c r="C34" s="64"/>
      <c r="D34" s="2"/>
      <c r="E34" s="2"/>
      <c r="F34" s="64"/>
      <c r="G34" s="67"/>
      <c r="H34" s="68" t="s">
        <v>67</v>
      </c>
      <c r="I34" s="64"/>
      <c r="J34" s="18"/>
      <c r="K34" s="56" t="s">
        <v>165</v>
      </c>
      <c r="L34" s="72" t="s">
        <v>27</v>
      </c>
      <c r="M34" s="72"/>
      <c r="N34" s="2" t="s">
        <v>22</v>
      </c>
    </row>
    <row r="35" spans="1:15" ht="26" x14ac:dyDescent="0.35">
      <c r="A35" s="78"/>
      <c r="B35" s="64"/>
      <c r="C35" s="64"/>
      <c r="D35" s="2"/>
      <c r="E35" s="2"/>
      <c r="F35" s="64"/>
      <c r="G35" s="67"/>
      <c r="H35" s="68" t="s">
        <v>72</v>
      </c>
      <c r="I35" s="88" t="s">
        <v>168</v>
      </c>
      <c r="J35" s="18"/>
      <c r="K35" s="56" t="s">
        <v>169</v>
      </c>
      <c r="L35" s="72" t="s">
        <v>27</v>
      </c>
      <c r="M35" s="72"/>
      <c r="N35" s="2" t="s">
        <v>22</v>
      </c>
      <c r="O35">
        <v>5537846</v>
      </c>
    </row>
    <row r="36" spans="1:15" ht="26" x14ac:dyDescent="0.35">
      <c r="A36" s="78"/>
      <c r="B36" s="64"/>
      <c r="C36" s="64"/>
      <c r="D36" s="2"/>
      <c r="E36" s="2"/>
      <c r="F36" s="64"/>
      <c r="G36" s="67"/>
      <c r="H36" s="68" t="s">
        <v>74</v>
      </c>
      <c r="I36" s="64"/>
      <c r="J36" s="18"/>
      <c r="K36" s="56" t="s">
        <v>170</v>
      </c>
      <c r="L36" s="72" t="s">
        <v>27</v>
      </c>
      <c r="M36" s="72"/>
      <c r="N36" s="2" t="s">
        <v>22</v>
      </c>
    </row>
    <row r="37" spans="1:15" x14ac:dyDescent="0.35">
      <c r="A37" s="78"/>
      <c r="B37" s="64"/>
      <c r="C37" s="64"/>
      <c r="D37" s="2"/>
      <c r="E37" s="2"/>
      <c r="F37" s="64"/>
      <c r="G37" s="67"/>
      <c r="H37" s="68" t="s">
        <v>78</v>
      </c>
      <c r="I37" s="64"/>
      <c r="J37" s="18"/>
      <c r="K37" s="56" t="s">
        <v>171</v>
      </c>
      <c r="L37" s="72" t="s">
        <v>27</v>
      </c>
      <c r="M37" s="72"/>
      <c r="N37" s="2" t="s">
        <v>22</v>
      </c>
    </row>
    <row r="38" spans="1:15" x14ac:dyDescent="0.35">
      <c r="A38" s="78"/>
      <c r="B38" s="64"/>
      <c r="C38" s="64"/>
      <c r="D38" s="2"/>
      <c r="E38" s="2"/>
      <c r="F38" s="64"/>
      <c r="G38" s="67"/>
      <c r="H38" s="68" t="s">
        <v>79</v>
      </c>
      <c r="I38" s="64"/>
      <c r="J38" s="18"/>
      <c r="K38" s="56" t="s">
        <v>172</v>
      </c>
      <c r="L38" s="72" t="s">
        <v>27</v>
      </c>
      <c r="M38" s="72"/>
      <c r="N38" s="2" t="s">
        <v>22</v>
      </c>
    </row>
    <row r="39" spans="1:15" x14ac:dyDescent="0.35">
      <c r="A39" s="78"/>
      <c r="B39" s="64"/>
      <c r="C39" s="64"/>
      <c r="D39" s="2"/>
      <c r="E39" s="2"/>
      <c r="F39" s="64"/>
      <c r="G39" s="67"/>
      <c r="H39" s="68" t="s">
        <v>80</v>
      </c>
      <c r="I39" s="64"/>
      <c r="J39" s="18"/>
      <c r="K39" s="56" t="s">
        <v>174</v>
      </c>
      <c r="L39" s="72" t="s">
        <v>27</v>
      </c>
      <c r="M39" s="72"/>
      <c r="N39" s="2" t="s">
        <v>22</v>
      </c>
    </row>
    <row r="40" spans="1:15" x14ac:dyDescent="0.35">
      <c r="A40" s="2"/>
      <c r="B40" s="2"/>
      <c r="C40" s="2"/>
      <c r="D40" s="2"/>
      <c r="E40" s="2"/>
      <c r="F40" s="2"/>
      <c r="G40" s="2"/>
      <c r="H40" s="68" t="s">
        <v>81</v>
      </c>
      <c r="I40" s="2"/>
      <c r="J40" s="2"/>
      <c r="K40" s="56" t="s">
        <v>175</v>
      </c>
      <c r="L40" s="72" t="s">
        <v>27</v>
      </c>
      <c r="M40" s="2"/>
      <c r="N40" s="2" t="s">
        <v>22</v>
      </c>
    </row>
    <row r="41" spans="1:15" x14ac:dyDescent="0.35">
      <c r="A41" s="2"/>
      <c r="B41" s="2"/>
      <c r="C41" s="2"/>
      <c r="D41" s="2"/>
      <c r="E41" s="2"/>
      <c r="F41" s="2"/>
      <c r="G41" s="2"/>
      <c r="H41" s="68" t="s">
        <v>83</v>
      </c>
      <c r="I41" s="2"/>
      <c r="J41" s="1" t="s">
        <v>176</v>
      </c>
      <c r="K41" s="53" t="s">
        <v>177</v>
      </c>
      <c r="L41" s="178" t="s">
        <v>27</v>
      </c>
      <c r="M41" s="2"/>
      <c r="N41" s="2" t="s">
        <v>22</v>
      </c>
    </row>
    <row r="42" spans="1:15" x14ac:dyDescent="0.35">
      <c r="A42" s="2"/>
      <c r="B42" s="2"/>
      <c r="C42" s="2"/>
      <c r="D42" s="2"/>
      <c r="E42" s="2"/>
      <c r="F42" s="2"/>
      <c r="G42" s="2"/>
      <c r="H42" s="68" t="s">
        <v>84</v>
      </c>
      <c r="I42" s="2"/>
      <c r="J42" s="2"/>
      <c r="K42" s="53" t="s">
        <v>178</v>
      </c>
      <c r="L42" s="178" t="s">
        <v>27</v>
      </c>
      <c r="M42" s="2"/>
      <c r="N42" s="2" t="s">
        <v>22</v>
      </c>
    </row>
    <row r="43" spans="1:15" x14ac:dyDescent="0.35">
      <c r="A43" s="2"/>
      <c r="B43" s="2"/>
      <c r="C43" s="2"/>
      <c r="D43" s="2"/>
      <c r="E43" s="2"/>
      <c r="F43" s="2"/>
      <c r="G43" s="2"/>
      <c r="H43" s="68" t="s">
        <v>86</v>
      </c>
      <c r="I43" s="2"/>
      <c r="J43" s="2"/>
      <c r="K43" s="53" t="s">
        <v>179</v>
      </c>
      <c r="L43" s="178" t="s">
        <v>27</v>
      </c>
      <c r="M43" s="2"/>
      <c r="N43" s="2" t="s">
        <v>22</v>
      </c>
    </row>
  </sheetData>
  <phoneticPr fontId="12" type="noConversion"/>
  <conditionalFormatting sqref="A17:C17 A33:C39">
    <cfRule type="expression" dxfId="11" priority="1" stopIfTrue="1">
      <formula>(#REF! = "Not First Step")</formula>
    </cfRule>
  </conditionalFormatting>
  <dataValidations count="2">
    <dataValidation type="list" allowBlank="1" showInputMessage="1" showErrorMessage="1" sqref="F1:F12 F17 F33:F39" xr:uid="{91ADEA43-E5CF-474D-AB87-66C2989BDEDE}">
      <formula1>Status</formula1>
    </dataValidation>
    <dataValidation type="list" allowBlank="1" showInputMessage="1" showErrorMessage="1" sqref="N3:N43" xr:uid="{B8F17893-6601-4162-BF2B-8F090415FAF8}">
      <formula1>"Pass,Fail,Deferred,Not Valid,Not Applicable,In Progress,No Run"</formula1>
    </dataValidation>
  </dataValidations>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AA201-3476-44C8-A1E6-C6CE35070289}">
  <dimension ref="A1:S18"/>
  <sheetViews>
    <sheetView topLeftCell="F1" workbookViewId="0">
      <selection activeCell="J19" sqref="J19"/>
    </sheetView>
  </sheetViews>
  <sheetFormatPr defaultRowHeight="14.5" x14ac:dyDescent="0.35"/>
  <cols>
    <col min="1" max="1" width="24.54296875" customWidth="1"/>
    <col min="2" max="2" width="14.453125" customWidth="1"/>
    <col min="3" max="3" width="11.54296875" customWidth="1"/>
    <col min="4" max="4" width="9.453125" customWidth="1"/>
    <col min="5" max="5" width="13.453125" customWidth="1"/>
    <col min="6" max="6" width="10.453125" customWidth="1"/>
    <col min="7" max="7" width="14.54296875" customWidth="1"/>
    <col min="8" max="8" width="10.453125" customWidth="1"/>
    <col min="9" max="9" width="24.54296875" customWidth="1"/>
    <col min="10" max="10" width="38" bestFit="1" customWidth="1"/>
    <col min="11" max="11" width="110.453125" bestFit="1" customWidth="1"/>
    <col min="12" max="12" width="26.54296875" customWidth="1"/>
    <col min="13" max="13" width="11.453125" customWidth="1"/>
    <col min="14" max="14" width="15.54296875" customWidth="1"/>
    <col min="19" max="19" width="18.54296875" customWidth="1"/>
  </cols>
  <sheetData>
    <row r="1" spans="1:19" ht="26" x14ac:dyDescent="0.35">
      <c r="A1" s="58" t="s">
        <v>0</v>
      </c>
      <c r="B1" s="58" t="s">
        <v>1</v>
      </c>
      <c r="C1" s="58" t="s">
        <v>2</v>
      </c>
      <c r="D1" s="58" t="s">
        <v>3</v>
      </c>
      <c r="E1" s="58" t="s">
        <v>4</v>
      </c>
      <c r="F1" s="58" t="s">
        <v>5</v>
      </c>
      <c r="G1" s="58" t="s">
        <v>6</v>
      </c>
      <c r="H1" s="59" t="s">
        <v>7</v>
      </c>
      <c r="I1" s="59" t="s">
        <v>8</v>
      </c>
      <c r="J1" s="59" t="s">
        <v>9</v>
      </c>
      <c r="K1" s="84" t="s">
        <v>10</v>
      </c>
      <c r="L1" s="60" t="s">
        <v>11</v>
      </c>
      <c r="M1" s="60" t="s">
        <v>12</v>
      </c>
      <c r="N1" s="59" t="s">
        <v>13</v>
      </c>
      <c r="O1" s="59" t="s">
        <v>14</v>
      </c>
      <c r="P1" s="59" t="s">
        <v>15</v>
      </c>
      <c r="Q1" s="59" t="s">
        <v>16</v>
      </c>
      <c r="R1" s="59" t="s">
        <v>17</v>
      </c>
      <c r="S1" s="59" t="s">
        <v>18</v>
      </c>
    </row>
    <row r="2" spans="1:19" x14ac:dyDescent="0.35">
      <c r="A2" s="97" t="s">
        <v>553</v>
      </c>
      <c r="B2" s="84"/>
      <c r="C2" s="84"/>
      <c r="D2" s="65"/>
      <c r="E2" s="66"/>
      <c r="F2" s="2"/>
      <c r="G2" s="67"/>
      <c r="H2" s="68" t="s">
        <v>23</v>
      </c>
      <c r="I2" s="64"/>
      <c r="J2" s="261" t="s">
        <v>554</v>
      </c>
      <c r="K2" t="s">
        <v>555</v>
      </c>
      <c r="L2" s="19" t="s">
        <v>27</v>
      </c>
      <c r="M2" s="98"/>
      <c r="N2" s="99" t="s">
        <v>22</v>
      </c>
      <c r="O2" s="84"/>
      <c r="P2" s="84"/>
      <c r="Q2" s="84"/>
      <c r="R2" s="84"/>
      <c r="S2" s="84"/>
    </row>
    <row r="3" spans="1:19" x14ac:dyDescent="0.35">
      <c r="A3" s="70"/>
      <c r="B3" s="84"/>
      <c r="C3" s="84"/>
      <c r="D3" s="65"/>
      <c r="E3" s="66"/>
      <c r="F3" s="2"/>
      <c r="G3" s="67"/>
      <c r="H3" s="68" t="s">
        <v>28</v>
      </c>
      <c r="I3" s="64"/>
      <c r="J3" s="261"/>
      <c r="K3" t="s">
        <v>556</v>
      </c>
      <c r="L3" s="19" t="s">
        <v>27</v>
      </c>
      <c r="M3" s="98"/>
      <c r="N3" s="99" t="s">
        <v>22</v>
      </c>
      <c r="O3" s="84"/>
      <c r="P3" s="84"/>
      <c r="Q3" s="84"/>
      <c r="R3" s="84"/>
      <c r="S3" s="84"/>
    </row>
    <row r="4" spans="1:19" x14ac:dyDescent="0.35">
      <c r="A4" s="70"/>
      <c r="B4" s="84"/>
      <c r="C4" s="84"/>
      <c r="D4" s="65"/>
      <c r="E4" s="66"/>
      <c r="F4" s="2"/>
      <c r="G4" s="67"/>
      <c r="H4" s="68" t="s">
        <v>30</v>
      </c>
      <c r="I4" s="64"/>
      <c r="J4" s="261"/>
      <c r="K4" t="s">
        <v>557</v>
      </c>
      <c r="L4" s="19" t="s">
        <v>27</v>
      </c>
      <c r="M4" s="98"/>
      <c r="N4" s="99" t="s">
        <v>22</v>
      </c>
      <c r="O4" s="84"/>
      <c r="P4" s="84"/>
      <c r="Q4" s="84"/>
      <c r="R4" s="84"/>
      <c r="S4" s="84"/>
    </row>
    <row r="5" spans="1:19" ht="26.9" customHeight="1" x14ac:dyDescent="0.35">
      <c r="A5" s="2"/>
      <c r="B5" s="2"/>
      <c r="C5" s="2"/>
      <c r="D5" s="65"/>
      <c r="E5" s="66"/>
      <c r="F5" s="2"/>
      <c r="G5" s="67"/>
      <c r="H5" s="68" t="s">
        <v>32</v>
      </c>
      <c r="I5" s="3"/>
      <c r="J5" s="261" t="s">
        <v>558</v>
      </c>
      <c r="K5" t="s">
        <v>559</v>
      </c>
      <c r="L5" s="19" t="s">
        <v>27</v>
      </c>
      <c r="M5" s="98"/>
      <c r="N5" s="99" t="s">
        <v>22</v>
      </c>
      <c r="O5" s="2"/>
      <c r="P5" s="2"/>
      <c r="Q5" s="2"/>
      <c r="R5" s="2"/>
      <c r="S5" s="2"/>
    </row>
    <row r="6" spans="1:19" x14ac:dyDescent="0.35">
      <c r="A6" s="2"/>
      <c r="B6" s="2"/>
      <c r="C6" s="2"/>
      <c r="D6" s="65"/>
      <c r="E6" s="66"/>
      <c r="F6" s="2"/>
      <c r="G6" s="67"/>
      <c r="H6" s="68" t="s">
        <v>34</v>
      </c>
      <c r="I6" s="3"/>
      <c r="J6" s="261"/>
      <c r="K6" t="s">
        <v>560</v>
      </c>
      <c r="L6" s="19" t="s">
        <v>27</v>
      </c>
      <c r="M6" s="98"/>
      <c r="N6" s="99" t="s">
        <v>22</v>
      </c>
      <c r="O6" s="2"/>
      <c r="P6" s="2"/>
      <c r="Q6" s="2"/>
      <c r="R6" s="2"/>
      <c r="S6" s="2"/>
    </row>
    <row r="7" spans="1:19" x14ac:dyDescent="0.35">
      <c r="A7" s="2"/>
      <c r="B7" s="2"/>
      <c r="C7" s="2"/>
      <c r="D7" s="65"/>
      <c r="E7" s="66"/>
      <c r="F7" s="2"/>
      <c r="G7" s="67"/>
      <c r="H7" s="68" t="s">
        <v>36</v>
      </c>
      <c r="I7" s="3"/>
      <c r="J7" s="261" t="s">
        <v>561</v>
      </c>
      <c r="K7" t="s">
        <v>562</v>
      </c>
      <c r="L7" s="19" t="s">
        <v>27</v>
      </c>
      <c r="M7" s="98"/>
      <c r="N7" s="99" t="s">
        <v>22</v>
      </c>
      <c r="O7" s="2"/>
      <c r="P7" s="2"/>
      <c r="Q7" s="2"/>
      <c r="R7" s="2"/>
      <c r="S7" s="2"/>
    </row>
    <row r="8" spans="1:19" x14ac:dyDescent="0.35">
      <c r="A8" s="2"/>
      <c r="B8" s="2"/>
      <c r="C8" s="2"/>
      <c r="D8" s="65"/>
      <c r="E8" s="66"/>
      <c r="F8" s="2"/>
      <c r="G8" s="67"/>
      <c r="H8" s="68" t="s">
        <v>38</v>
      </c>
      <c r="I8" s="3"/>
      <c r="J8" s="261"/>
      <c r="K8" t="s">
        <v>563</v>
      </c>
      <c r="L8" s="19" t="s">
        <v>27</v>
      </c>
      <c r="M8" s="98"/>
      <c r="N8" s="99" t="s">
        <v>22</v>
      </c>
      <c r="O8" s="2"/>
      <c r="P8" s="2"/>
      <c r="Q8" s="2"/>
      <c r="R8" s="2"/>
      <c r="S8" s="2" t="s">
        <v>822</v>
      </c>
    </row>
    <row r="9" spans="1:19" x14ac:dyDescent="0.35">
      <c r="A9" s="70"/>
      <c r="B9" s="2"/>
      <c r="C9" s="2"/>
      <c r="D9" s="65"/>
      <c r="E9" s="66"/>
      <c r="F9" s="2"/>
      <c r="G9" s="67"/>
      <c r="H9" s="68" t="s">
        <v>40</v>
      </c>
      <c r="I9" s="3"/>
      <c r="J9" s="261"/>
      <c r="K9" t="s">
        <v>564</v>
      </c>
      <c r="L9" s="19" t="s">
        <v>27</v>
      </c>
      <c r="M9" s="98"/>
      <c r="N9" s="99" t="s">
        <v>22</v>
      </c>
      <c r="O9" s="2"/>
      <c r="P9" s="2"/>
      <c r="Q9" s="2"/>
      <c r="R9" s="2"/>
      <c r="S9" s="2"/>
    </row>
    <row r="10" spans="1:19" x14ac:dyDescent="0.35">
      <c r="A10" s="70"/>
      <c r="B10" s="2"/>
      <c r="C10" s="2"/>
      <c r="D10" s="65"/>
      <c r="E10" s="66"/>
      <c r="F10" s="2"/>
      <c r="G10" s="67"/>
      <c r="H10" s="68" t="s">
        <v>42</v>
      </c>
      <c r="I10" s="3"/>
      <c r="J10" s="261"/>
      <c r="K10" t="s">
        <v>565</v>
      </c>
      <c r="L10" s="19" t="s">
        <v>27</v>
      </c>
      <c r="M10" s="98"/>
      <c r="N10" s="99" t="s">
        <v>343</v>
      </c>
      <c r="O10" s="2"/>
      <c r="P10" s="2"/>
      <c r="Q10" s="2"/>
      <c r="R10" s="2"/>
      <c r="S10" s="2" t="s">
        <v>835</v>
      </c>
    </row>
    <row r="11" spans="1:19" x14ac:dyDescent="0.35">
      <c r="A11" s="70"/>
      <c r="B11" s="2"/>
      <c r="C11" s="2"/>
      <c r="D11" s="65"/>
      <c r="E11" s="66"/>
      <c r="F11" s="2"/>
      <c r="G11" s="67"/>
      <c r="H11" s="68" t="s">
        <v>148</v>
      </c>
      <c r="I11" s="3"/>
      <c r="J11" s="261"/>
      <c r="K11" t="s">
        <v>566</v>
      </c>
      <c r="L11" s="19" t="s">
        <v>27</v>
      </c>
      <c r="M11" s="98"/>
      <c r="N11" s="99" t="s">
        <v>22</v>
      </c>
      <c r="O11" s="2"/>
      <c r="P11" s="2"/>
      <c r="Q11" s="2"/>
      <c r="R11" s="2"/>
      <c r="S11" s="2"/>
    </row>
    <row r="12" spans="1:19" x14ac:dyDescent="0.35">
      <c r="A12" s="70"/>
      <c r="B12" s="2"/>
      <c r="C12" s="2"/>
      <c r="D12" s="65"/>
      <c r="E12" s="66"/>
      <c r="F12" s="2"/>
      <c r="G12" s="67"/>
      <c r="H12" s="68" t="s">
        <v>150</v>
      </c>
      <c r="I12" s="3"/>
      <c r="J12" s="261"/>
      <c r="K12" t="s">
        <v>567</v>
      </c>
      <c r="L12" s="19" t="s">
        <v>27</v>
      </c>
      <c r="M12" s="98"/>
      <c r="N12" s="99" t="s">
        <v>22</v>
      </c>
      <c r="O12" s="2"/>
      <c r="P12" s="2"/>
      <c r="Q12" s="2"/>
      <c r="R12" s="2"/>
      <c r="S12" s="2"/>
    </row>
    <row r="13" spans="1:19" x14ac:dyDescent="0.35">
      <c r="A13" s="70"/>
      <c r="B13" s="2"/>
      <c r="C13" s="2"/>
      <c r="D13" s="65"/>
      <c r="E13" s="66"/>
      <c r="F13" s="2"/>
      <c r="G13" s="67"/>
      <c r="H13" s="68" t="s">
        <v>44</v>
      </c>
      <c r="I13" s="3"/>
      <c r="J13" s="261" t="s">
        <v>568</v>
      </c>
      <c r="K13" t="s">
        <v>569</v>
      </c>
      <c r="L13" s="19" t="s">
        <v>27</v>
      </c>
      <c r="M13" s="98"/>
      <c r="N13" s="99" t="s">
        <v>22</v>
      </c>
      <c r="O13" s="2"/>
      <c r="P13" s="2"/>
      <c r="Q13" s="2"/>
      <c r="R13" s="2"/>
      <c r="S13" s="2"/>
    </row>
    <row r="14" spans="1:19" x14ac:dyDescent="0.35">
      <c r="A14" s="70"/>
      <c r="B14" s="2"/>
      <c r="C14" s="2"/>
      <c r="D14" s="65"/>
      <c r="E14" s="66"/>
      <c r="F14" s="2"/>
      <c r="G14" s="67"/>
      <c r="H14" s="68" t="s">
        <v>46</v>
      </c>
      <c r="I14" s="3"/>
      <c r="J14" s="261"/>
      <c r="K14" t="s">
        <v>570</v>
      </c>
      <c r="L14" s="19" t="s">
        <v>27</v>
      </c>
      <c r="M14" s="98"/>
      <c r="N14" s="99" t="s">
        <v>22</v>
      </c>
      <c r="O14" s="2"/>
      <c r="P14" s="2"/>
      <c r="Q14" s="2"/>
      <c r="R14" s="2" t="s">
        <v>801</v>
      </c>
      <c r="S14" s="2"/>
    </row>
    <row r="15" spans="1:19" x14ac:dyDescent="0.35">
      <c r="A15" s="70"/>
      <c r="B15" s="2"/>
      <c r="C15" s="2"/>
      <c r="D15" s="65"/>
      <c r="E15" s="66"/>
      <c r="F15" s="2"/>
      <c r="G15" s="67"/>
      <c r="H15" s="68" t="s">
        <v>48</v>
      </c>
      <c r="I15" s="3"/>
      <c r="J15" s="261"/>
      <c r="K15" t="s">
        <v>571</v>
      </c>
      <c r="L15" s="19" t="s">
        <v>27</v>
      </c>
      <c r="M15" s="98"/>
      <c r="N15" s="99" t="s">
        <v>22</v>
      </c>
      <c r="O15" s="2"/>
      <c r="P15" s="2"/>
      <c r="Q15" s="2"/>
      <c r="R15" s="2"/>
      <c r="S15" s="2"/>
    </row>
    <row r="16" spans="1:19" x14ac:dyDescent="0.35">
      <c r="A16" s="70"/>
      <c r="B16" s="2"/>
      <c r="C16" s="2"/>
      <c r="D16" s="65"/>
      <c r="E16" s="66"/>
      <c r="F16" s="2"/>
      <c r="G16" s="67"/>
      <c r="H16" s="68" t="s">
        <v>51</v>
      </c>
      <c r="I16" s="3"/>
      <c r="J16" s="245" t="s">
        <v>572</v>
      </c>
      <c r="K16" s="246" t="s">
        <v>573</v>
      </c>
      <c r="L16" s="19" t="s">
        <v>27</v>
      </c>
      <c r="M16" s="98"/>
      <c r="N16" s="99" t="s">
        <v>22</v>
      </c>
      <c r="O16" s="2"/>
      <c r="P16" s="2"/>
      <c r="Q16" s="2"/>
      <c r="R16" s="2"/>
      <c r="S16" s="2"/>
    </row>
    <row r="17" spans="1:19" x14ac:dyDescent="0.35">
      <c r="A17" s="70"/>
      <c r="B17" s="2"/>
      <c r="C17" s="2"/>
      <c r="D17" s="65"/>
      <c r="E17" s="66"/>
      <c r="F17" s="2"/>
      <c r="G17" s="67"/>
      <c r="H17" s="68" t="s">
        <v>53</v>
      </c>
      <c r="I17" s="3"/>
      <c r="J17" s="238"/>
      <c r="K17" s="246" t="s">
        <v>834</v>
      </c>
      <c r="L17" s="19" t="s">
        <v>27</v>
      </c>
      <c r="M17" s="98"/>
      <c r="N17" s="99" t="s">
        <v>22</v>
      </c>
      <c r="O17" s="2"/>
      <c r="P17" s="2"/>
      <c r="Q17" s="2"/>
      <c r="R17" s="2"/>
      <c r="S17" s="2"/>
    </row>
    <row r="18" spans="1:19" x14ac:dyDescent="0.35">
      <c r="A18" s="70"/>
      <c r="B18" s="2"/>
      <c r="C18" s="2"/>
      <c r="D18" s="65"/>
      <c r="E18" s="66"/>
      <c r="F18" s="2"/>
      <c r="G18" s="67"/>
      <c r="H18" s="68"/>
      <c r="I18" s="3"/>
      <c r="L18" s="19"/>
      <c r="M18" s="98"/>
      <c r="N18" s="99"/>
      <c r="O18" s="2"/>
      <c r="P18" s="2"/>
      <c r="Q18" s="2"/>
      <c r="R18" s="2"/>
      <c r="S18" s="2"/>
    </row>
  </sheetData>
  <mergeCells count="4">
    <mergeCell ref="J2:J4"/>
    <mergeCell ref="J5:J6"/>
    <mergeCell ref="J7:J12"/>
    <mergeCell ref="J13:J15"/>
  </mergeCells>
  <conditionalFormatting sqref="B2:C18">
    <cfRule type="expression" dxfId="10" priority="1" stopIfTrue="1">
      <formula>(#REF! = "Not First Step")</formula>
    </cfRule>
  </conditionalFormatting>
  <conditionalFormatting sqref="F2:F8">
    <cfRule type="expression" dxfId="9" priority="2" stopIfTrue="1">
      <formula>(#REF! = "Not First Step")</formula>
    </cfRule>
  </conditionalFormatting>
  <dataValidations count="2">
    <dataValidation type="list" allowBlank="1" showInputMessage="1" showErrorMessage="1" sqref="F1" xr:uid="{46091990-1C07-47B4-8A7C-37B46AE736C8}">
      <formula1>Status</formula1>
    </dataValidation>
    <dataValidation type="list" allowBlank="1" showInputMessage="1" showErrorMessage="1" sqref="N2:N18" xr:uid="{82458DDA-D514-448C-9E5A-698D72FC4A15}">
      <formula1>"Pass,Fail,Deferred,Not Valid,Not Applicable,In Progress,No Run"</formula1>
    </dataValidation>
  </dataValidation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5930E-964A-4C99-AF8C-217523F9598A}">
  <dimension ref="A1:S30"/>
  <sheetViews>
    <sheetView topLeftCell="A22" workbookViewId="0">
      <selection activeCell="I36" sqref="I36"/>
    </sheetView>
  </sheetViews>
  <sheetFormatPr defaultColWidth="8.54296875" defaultRowHeight="14.5" x14ac:dyDescent="0.35"/>
  <cols>
    <col min="1" max="1" width="50.453125" customWidth="1"/>
    <col min="2" max="2" width="8.54296875" bestFit="1" customWidth="1"/>
    <col min="9" max="9" width="16.453125" bestFit="1" customWidth="1"/>
    <col min="10" max="10" width="22.54296875" bestFit="1" customWidth="1"/>
    <col min="11" max="11" width="10" bestFit="1" customWidth="1"/>
  </cols>
  <sheetData>
    <row r="1" spans="1:19" x14ac:dyDescent="0.35">
      <c r="A1" s="47" t="s">
        <v>574</v>
      </c>
      <c r="B1" s="27"/>
      <c r="C1" s="27"/>
      <c r="D1" s="27"/>
      <c r="E1" s="27"/>
      <c r="F1" s="27"/>
      <c r="G1" s="27"/>
      <c r="H1" s="27"/>
      <c r="I1" s="27"/>
      <c r="J1" s="27"/>
      <c r="K1" s="27"/>
      <c r="L1" s="27"/>
      <c r="M1" s="27"/>
    </row>
    <row r="2" spans="1:19" x14ac:dyDescent="0.35">
      <c r="A2" s="28" t="s">
        <v>575</v>
      </c>
      <c r="B2" s="28" t="s">
        <v>576</v>
      </c>
      <c r="C2" s="28" t="s">
        <v>577</v>
      </c>
      <c r="D2" s="28" t="s">
        <v>578</v>
      </c>
      <c r="E2" s="28" t="s">
        <v>579</v>
      </c>
      <c r="F2" s="28" t="s">
        <v>580</v>
      </c>
      <c r="G2" s="28" t="s">
        <v>581</v>
      </c>
      <c r="H2" s="28" t="s">
        <v>582</v>
      </c>
      <c r="I2" s="28" t="s">
        <v>583</v>
      </c>
      <c r="J2" s="28" t="s">
        <v>584</v>
      </c>
      <c r="K2" s="28" t="s">
        <v>585</v>
      </c>
      <c r="L2" s="28" t="s">
        <v>586</v>
      </c>
      <c r="M2" s="28" t="s">
        <v>558</v>
      </c>
      <c r="N2" s="29" t="s">
        <v>587</v>
      </c>
    </row>
    <row r="3" spans="1:19" x14ac:dyDescent="0.35">
      <c r="A3" s="30" t="s">
        <v>22</v>
      </c>
      <c r="B3" s="31">
        <f>COUNTIF('Case Install'!N2:N66,"Pass")</f>
        <v>64</v>
      </c>
      <c r="C3" s="31">
        <f>COUNTIF('Downstream Extract'!N1:N294,"Pass")</f>
        <v>25</v>
      </c>
      <c r="D3" s="31">
        <f>COUNTIF('Bill&amp;Comm'!N2:N12,"Pass")</f>
        <v>11</v>
      </c>
      <c r="E3" s="31">
        <f>COUNTIF(Maint!N2:N44,"Pass")</f>
        <v>39</v>
      </c>
      <c r="F3" s="31">
        <f>COUNTIF(ClmsClin!N2:N24,"Pass")</f>
        <v>17</v>
      </c>
      <c r="G3" s="31">
        <f>COUNTIF(DE!N2:N93,"Pass")</f>
        <v>74</v>
      </c>
      <c r="H3" s="31">
        <f>COUNTIF('Carve out'!N2:N18,"Pass")</f>
        <v>15</v>
      </c>
      <c r="I3" s="31">
        <f>COUNTIF('Rating Population'!N2:N43,"Pass")</f>
        <v>42</v>
      </c>
      <c r="J3" s="31">
        <f>COUNTIF('Integrated Administration'!N3:N35,"Pass")</f>
        <v>30</v>
      </c>
      <c r="K3" s="31">
        <f>COUNTIF('Cal Choice'!N2:N158,"Pass")</f>
        <v>132</v>
      </c>
      <c r="L3" s="31">
        <f>COUNTIF('PCP Assignment'!N2:N58,"Pass")</f>
        <v>43</v>
      </c>
      <c r="M3" s="31">
        <f>COUNTIF(Fulfillment!N2:N33,"Pass")</f>
        <v>31</v>
      </c>
      <c r="N3" s="32">
        <f t="shared" ref="N3:N9" si="0">SUM(B3:M3)</f>
        <v>523</v>
      </c>
      <c r="P3" s="33"/>
      <c r="S3" s="33"/>
    </row>
    <row r="4" spans="1:19" x14ac:dyDescent="0.35">
      <c r="A4" s="30" t="s">
        <v>267</v>
      </c>
      <c r="B4" s="31">
        <f>COUNTIF('Case Install'!N2:N66,"Fail")</f>
        <v>0</v>
      </c>
      <c r="C4" s="31">
        <f>COUNTIF('Downstream Extract'!N1:N294,"Fail")</f>
        <v>0</v>
      </c>
      <c r="D4" s="31">
        <f>COUNTIF('Bill&amp;Comm'!N2:N12,"Fail")</f>
        <v>0</v>
      </c>
      <c r="E4" s="31">
        <f>COUNTIF(Maint!N2:N44,"Fail")</f>
        <v>0</v>
      </c>
      <c r="F4" s="31">
        <f>COUNTIF(ClmsClin!N2:N24,"Fail")</f>
        <v>0</v>
      </c>
      <c r="G4" s="31">
        <f>COUNTIF(DE!N2:N93,"Fail")</f>
        <v>0</v>
      </c>
      <c r="H4" s="31">
        <f>COUNTIF('Carve out'!N2:N19,"Fail")</f>
        <v>0</v>
      </c>
      <c r="I4" s="31">
        <f>COUNTIF('Rating Population'!N2:N43,"Fail")</f>
        <v>0</v>
      </c>
      <c r="J4" s="31">
        <f>COUNTIF('Integrated Administration'!N3:N35,"Fail")</f>
        <v>0</v>
      </c>
      <c r="K4" s="31">
        <f>COUNTIF('Cal Choice'!N2:N158,"Fail")</f>
        <v>0</v>
      </c>
      <c r="L4" s="31">
        <f>COUNTIF('PCP Assignment'!N2:N58,"Fail")</f>
        <v>0</v>
      </c>
      <c r="M4" s="31">
        <f>COUNTIF(Fulfillment!N2:N33,"Fail")</f>
        <v>0</v>
      </c>
      <c r="N4" s="32">
        <f t="shared" si="0"/>
        <v>0</v>
      </c>
    </row>
    <row r="5" spans="1:19" x14ac:dyDescent="0.35">
      <c r="A5" s="30" t="s">
        <v>343</v>
      </c>
      <c r="B5" s="31">
        <f>COUNTIF('Case Install'!N2:N66,"Deferred")</f>
        <v>0</v>
      </c>
      <c r="C5" s="31">
        <f>COUNTIF('Downstream Extract'!N1:N294,"Deferred")</f>
        <v>0</v>
      </c>
      <c r="D5" s="31">
        <f>COUNTIF('Bill&amp;Comm'!N2:N12,"Deferred")</f>
        <v>0</v>
      </c>
      <c r="E5" s="31">
        <f>COUNTIF(Maint!N2:N44,"Deferred")</f>
        <v>0</v>
      </c>
      <c r="F5" s="31">
        <f>COUNTIF(ClmsClin!N2:N24,"Deferred")</f>
        <v>0</v>
      </c>
      <c r="G5" s="31">
        <f>COUNTIF(DE!N2:N93,"Deferred")</f>
        <v>3</v>
      </c>
      <c r="H5" s="31">
        <f>COUNTIF('Carve out'!N2:N20,"Deferred")</f>
        <v>1</v>
      </c>
      <c r="I5" s="31">
        <f>COUNTIF('Rating Population'!N2:N43,"Deferred")</f>
        <v>0</v>
      </c>
      <c r="J5" s="31">
        <f>COUNTIF('Integrated Administration'!N3:N28,"Deferred")</f>
        <v>0</v>
      </c>
      <c r="K5" s="31">
        <f>COUNTIF('Cal Choice'!N2:N158,"Deferred")</f>
        <v>5</v>
      </c>
      <c r="L5" s="31">
        <f>COUNTIF('PCP Assignment'!N2:N58,"Deferred")</f>
        <v>10</v>
      </c>
      <c r="M5" s="31">
        <f>COUNTIF(Fulfillment!N2:N33,"Deferred")</f>
        <v>0</v>
      </c>
      <c r="N5" s="32">
        <f t="shared" si="0"/>
        <v>19</v>
      </c>
      <c r="P5" s="33"/>
    </row>
    <row r="6" spans="1:19" x14ac:dyDescent="0.35">
      <c r="A6" s="30" t="s">
        <v>588</v>
      </c>
      <c r="B6" s="31">
        <f>COUNTIF('Case Install'!N2:N66,"Not Valid")</f>
        <v>0</v>
      </c>
      <c r="C6" s="31">
        <f>COUNTIF('Downstream Extract'!N1:N294,"Not Valid")</f>
        <v>0</v>
      </c>
      <c r="D6" s="31">
        <f>COUNTIF('Bill&amp;Comm'!N2:N12,"Not Valid")</f>
        <v>0</v>
      </c>
      <c r="E6" s="31">
        <f>COUNTIF(Maint!N2:N44,"Not Valid")</f>
        <v>0</v>
      </c>
      <c r="F6" s="31">
        <f>COUNTIF(ClmsClin!N2:N24,"Not Valid")</f>
        <v>0</v>
      </c>
      <c r="G6" s="31">
        <f>COUNTIF(DE!N2:N93,"Not Valid")</f>
        <v>0</v>
      </c>
      <c r="H6" s="31">
        <f>COUNTIF('Carve out'!N2:N21,"Not Valid")</f>
        <v>0</v>
      </c>
      <c r="I6" s="31">
        <f>COUNTIF('Rating Population'!N2:N43,"Not Valid")</f>
        <v>0</v>
      </c>
      <c r="J6" s="31">
        <f>COUNTIF('Integrated Administration'!N3:N35,"Not Valid")</f>
        <v>0</v>
      </c>
      <c r="K6" s="31">
        <f>COUNTIF('Cal Choice'!N2:N1158,"Not Valid")</f>
        <v>0</v>
      </c>
      <c r="L6" s="31">
        <f>COUNTIF('PCP Assignment'!N2:N58,"Not Valid")</f>
        <v>0</v>
      </c>
      <c r="M6" s="31">
        <f>COUNTIF(Fulfillment!N2:N33,"Not Valid")</f>
        <v>0</v>
      </c>
      <c r="N6" s="32">
        <f t="shared" si="0"/>
        <v>0</v>
      </c>
    </row>
    <row r="7" spans="1:19" x14ac:dyDescent="0.35">
      <c r="A7" s="30" t="s">
        <v>77</v>
      </c>
      <c r="B7" s="31">
        <f>COUNTIF('Case Install'!N2:N66,"Not Applicable")</f>
        <v>1</v>
      </c>
      <c r="C7" s="31">
        <f>COUNTIF('Downstream Extract'!N1:N294,"Not Applicable")</f>
        <v>0</v>
      </c>
      <c r="D7" s="31">
        <f>COUNTIF('Bill&amp;Comm'!N2:N12,"Not Applicable")</f>
        <v>0</v>
      </c>
      <c r="E7" s="31">
        <f>COUNTIF(Maint!N2:N44,"Not Applicable")</f>
        <v>4</v>
      </c>
      <c r="F7" s="31">
        <f>COUNTIF(ClmsClin!N2:N24,"Not Applicable")</f>
        <v>6</v>
      </c>
      <c r="G7" s="31">
        <f>COUNTIF(DE!N2:N93,"Not Applicable")</f>
        <v>15</v>
      </c>
      <c r="H7" s="31">
        <f>COUNTIF('Carve out'!N2:N22,"Not Applicable")</f>
        <v>0</v>
      </c>
      <c r="I7" s="31">
        <f>COUNTIF('Rating Population'!N2:N43,"Not Applicable")</f>
        <v>0</v>
      </c>
      <c r="J7" s="31">
        <f>COUNTIF('Integrated Administration'!N3:N35,"Not Applicable")</f>
        <v>1</v>
      </c>
      <c r="K7" s="31">
        <f>COUNTIF('Cal Choice'!N2:N158,"Not Applicable")</f>
        <v>10</v>
      </c>
      <c r="L7" s="31">
        <f>COUNTIF('PCP Assignment'!N2:N58,"Not Applicable")</f>
        <v>4</v>
      </c>
      <c r="M7" s="31">
        <f>COUNTIF(Fulfillment!N2:N33,"Not Applicable")</f>
        <v>1</v>
      </c>
      <c r="N7" s="32">
        <f t="shared" si="0"/>
        <v>42</v>
      </c>
    </row>
    <row r="8" spans="1:19" x14ac:dyDescent="0.35">
      <c r="A8" s="30" t="s">
        <v>167</v>
      </c>
      <c r="B8" s="31">
        <f>COUNTIF('Case Install'!N2:N66,"In Progress")</f>
        <v>0</v>
      </c>
      <c r="C8" s="31">
        <f>COUNTIF('Downstream Extract'!N1:N294,"In Progress")</f>
        <v>0</v>
      </c>
      <c r="D8" s="31">
        <f>COUNTIF('Bill&amp;Comm'!N2:N12,"In Progress")</f>
        <v>0</v>
      </c>
      <c r="E8" s="31">
        <f>COUNTIF(Maint!N2:N44,"In Progress")</f>
        <v>0</v>
      </c>
      <c r="F8" s="31">
        <f>COUNTIF(ClmsClin!N2:N24,"In Progress")</f>
        <v>0</v>
      </c>
      <c r="G8" s="31">
        <f>COUNTIF(DE!N2:N93,"In Progress")</f>
        <v>0</v>
      </c>
      <c r="H8" s="31">
        <f>COUNTIF('Carve out'!N2:N23,"In Progress")</f>
        <v>0</v>
      </c>
      <c r="I8" s="31">
        <f>COUNTIF('Rating Population'!N2:N43,"In Progress")</f>
        <v>0</v>
      </c>
      <c r="J8" s="31">
        <f>COUNTIF('Integrated Administration'!N3:N35,"In Progress")</f>
        <v>0</v>
      </c>
      <c r="K8" s="31">
        <f>COUNTIF('Cal Choice'!N2:N158,"In Progress")</f>
        <v>0</v>
      </c>
      <c r="L8" s="31">
        <f>COUNTIF('PCP Assignment'!N2:N58,"In Progress")</f>
        <v>0</v>
      </c>
      <c r="M8" s="31">
        <f>COUNTIF(Fulfillment!N2:N33,"In Progress")</f>
        <v>0</v>
      </c>
      <c r="N8" s="32">
        <f t="shared" si="0"/>
        <v>0</v>
      </c>
    </row>
    <row r="9" spans="1:19" x14ac:dyDescent="0.35">
      <c r="A9" s="30" t="s">
        <v>589</v>
      </c>
      <c r="B9" s="31">
        <f>COUNTIF('Case Install'!N2:N66,"No Run")</f>
        <v>0</v>
      </c>
      <c r="C9" s="31">
        <f>COUNTIF('Downstream Extract'!N1:N294,"No Run")</f>
        <v>0</v>
      </c>
      <c r="D9" s="31">
        <f>COUNTIF('Bill&amp;Comm'!N2:N12,"No Run")</f>
        <v>0</v>
      </c>
      <c r="E9" s="31">
        <f>COUNTIF(Maint!N2:N44,"No Run")</f>
        <v>0</v>
      </c>
      <c r="F9" s="31">
        <f>COUNTIF(ClmsClin!N2:N24,"No Run")</f>
        <v>0</v>
      </c>
      <c r="G9" s="31">
        <f>COUNTIF(DE!N2:N93,"No Run")</f>
        <v>0</v>
      </c>
      <c r="H9" s="31">
        <f>COUNTIF('Carve out'!N2:N24,"No Run")</f>
        <v>0</v>
      </c>
      <c r="I9" s="31">
        <f>COUNTIF('Rating Population'!N2:N43,"No Run")</f>
        <v>0</v>
      </c>
      <c r="J9" s="31">
        <f>COUNTIF('Integrated Administration'!N3:N35,"No Run")</f>
        <v>0</v>
      </c>
      <c r="K9" s="31">
        <f>COUNTIF('Cal Choice'!N2:N158,"No Run")</f>
        <v>0</v>
      </c>
      <c r="L9" s="31">
        <f>COUNTIF('PCP Assignment'!N2:N58,"No Run")</f>
        <v>0</v>
      </c>
      <c r="M9" s="31">
        <f>COUNTIF(Fulfillment!N2:N33,"No Run")</f>
        <v>0</v>
      </c>
      <c r="N9" s="32">
        <f t="shared" si="0"/>
        <v>0</v>
      </c>
    </row>
    <row r="10" spans="1:19" x14ac:dyDescent="0.35">
      <c r="A10" s="34" t="s">
        <v>590</v>
      </c>
      <c r="B10" s="35">
        <f>SUM(B3:B9)</f>
        <v>65</v>
      </c>
      <c r="C10" s="35">
        <f>SUM(C3:C9)</f>
        <v>25</v>
      </c>
      <c r="D10" s="35">
        <f t="shared" ref="D10:M10" si="1">SUM(D3:D9)</f>
        <v>11</v>
      </c>
      <c r="E10" s="35">
        <f t="shared" si="1"/>
        <v>43</v>
      </c>
      <c r="F10" s="35">
        <f t="shared" si="1"/>
        <v>23</v>
      </c>
      <c r="G10" s="35">
        <f t="shared" si="1"/>
        <v>92</v>
      </c>
      <c r="H10" s="35">
        <f t="shared" si="1"/>
        <v>16</v>
      </c>
      <c r="I10" s="35">
        <f t="shared" si="1"/>
        <v>42</v>
      </c>
      <c r="J10" s="35">
        <f t="shared" si="1"/>
        <v>31</v>
      </c>
      <c r="K10" s="35">
        <f t="shared" si="1"/>
        <v>147</v>
      </c>
      <c r="L10" s="35">
        <f t="shared" si="1"/>
        <v>57</v>
      </c>
      <c r="M10" s="35">
        <f t="shared" si="1"/>
        <v>32</v>
      </c>
      <c r="N10" s="35">
        <f t="shared" ref="N10" si="2">SUM(N3:N9)</f>
        <v>584</v>
      </c>
    </row>
    <row r="11" spans="1:19" x14ac:dyDescent="0.35">
      <c r="A11" s="47"/>
      <c r="B11" s="27"/>
      <c r="C11" s="27"/>
      <c r="D11" s="27"/>
      <c r="E11" s="27"/>
      <c r="F11" s="27"/>
      <c r="G11" s="27"/>
      <c r="H11" s="27"/>
      <c r="I11" s="27"/>
      <c r="J11" s="27"/>
      <c r="K11" s="27"/>
      <c r="L11" s="27"/>
      <c r="M11" s="27"/>
    </row>
    <row r="13" spans="1:19" ht="39.5" x14ac:dyDescent="0.35">
      <c r="A13" s="52" t="s">
        <v>591</v>
      </c>
      <c r="B13" s="36" t="s">
        <v>592</v>
      </c>
      <c r="C13" s="36" t="s">
        <v>593</v>
      </c>
      <c r="D13" s="36" t="s">
        <v>594</v>
      </c>
      <c r="E13" s="36" t="s">
        <v>595</v>
      </c>
      <c r="F13" s="36" t="s">
        <v>596</v>
      </c>
      <c r="G13" s="36" t="s">
        <v>597</v>
      </c>
      <c r="H13" s="36" t="s">
        <v>587</v>
      </c>
      <c r="I13" s="37" t="s">
        <v>598</v>
      </c>
      <c r="J13" s="37" t="s">
        <v>599</v>
      </c>
      <c r="K13" s="37" t="s">
        <v>600</v>
      </c>
      <c r="L13" s="37" t="s">
        <v>601</v>
      </c>
      <c r="M13" s="37" t="s">
        <v>602</v>
      </c>
    </row>
    <row r="14" spans="1:19" x14ac:dyDescent="0.35">
      <c r="A14" s="1" t="s">
        <v>603</v>
      </c>
      <c r="B14" s="38">
        <f>B9</f>
        <v>0</v>
      </c>
      <c r="C14" s="38">
        <f>B8</f>
        <v>0</v>
      </c>
      <c r="D14" s="38">
        <f>B3</f>
        <v>64</v>
      </c>
      <c r="E14" s="38">
        <f>B4</f>
        <v>0</v>
      </c>
      <c r="F14" s="38">
        <v>0</v>
      </c>
      <c r="G14" s="38">
        <f>SUM(B5:B7)</f>
        <v>1</v>
      </c>
      <c r="H14" s="39">
        <f t="shared" ref="H14:H21" si="3">SUM(B14:G14)</f>
        <v>65</v>
      </c>
      <c r="I14" s="40">
        <f t="shared" ref="I14:I21" si="4">IF((H14-G14&gt;0),SUM(D14:F14)/(H14-G14),"0.0%")</f>
        <v>1</v>
      </c>
      <c r="J14" s="40">
        <f t="shared" ref="J14:J21" si="5">IF((D14&gt;0),(D14)/(H14-G14),"0.0%")</f>
        <v>1</v>
      </c>
      <c r="K14" s="41"/>
      <c r="L14" s="42"/>
      <c r="M14" s="41"/>
    </row>
    <row r="15" spans="1:19" x14ac:dyDescent="0.35">
      <c r="A15" s="1" t="s">
        <v>577</v>
      </c>
      <c r="B15" s="38">
        <f>C9</f>
        <v>0</v>
      </c>
      <c r="C15" s="38">
        <f>C8</f>
        <v>0</v>
      </c>
      <c r="D15" s="38">
        <f>C3</f>
        <v>25</v>
      </c>
      <c r="E15" s="38">
        <f>C4</f>
        <v>0</v>
      </c>
      <c r="F15" s="38">
        <v>0</v>
      </c>
      <c r="G15" s="38">
        <f>SUM(C5:C7)</f>
        <v>0</v>
      </c>
      <c r="H15" s="39">
        <f t="shared" si="3"/>
        <v>25</v>
      </c>
      <c r="I15" s="40">
        <f t="shared" ref="I15" si="6">IF((H15-G15&gt;0),SUM(D15:F15)/(H15-G15),"0.0%")</f>
        <v>1</v>
      </c>
      <c r="J15" s="40">
        <f t="shared" ref="J15" si="7">IF((D15&gt;0),(D15)/(H15-G15),"0.0%")</f>
        <v>1</v>
      </c>
      <c r="K15" s="41"/>
      <c r="L15" s="42"/>
      <c r="M15" s="41"/>
    </row>
    <row r="16" spans="1:19" x14ac:dyDescent="0.35">
      <c r="A16" s="1" t="s">
        <v>604</v>
      </c>
      <c r="B16" s="38">
        <f>D9</f>
        <v>0</v>
      </c>
      <c r="C16" s="38">
        <f>D8</f>
        <v>0</v>
      </c>
      <c r="D16" s="38">
        <f>D3</f>
        <v>11</v>
      </c>
      <c r="E16" s="38">
        <f>D4</f>
        <v>0</v>
      </c>
      <c r="F16" s="38">
        <v>0</v>
      </c>
      <c r="G16" s="38">
        <f>SUM(D5:D7)</f>
        <v>0</v>
      </c>
      <c r="H16" s="39">
        <f t="shared" si="3"/>
        <v>11</v>
      </c>
      <c r="I16" s="40">
        <f t="shared" si="4"/>
        <v>1</v>
      </c>
      <c r="J16" s="40">
        <f t="shared" si="5"/>
        <v>1</v>
      </c>
      <c r="K16" s="41"/>
      <c r="L16" s="42"/>
      <c r="M16" s="41"/>
    </row>
    <row r="17" spans="1:18" x14ac:dyDescent="0.35">
      <c r="A17" s="1" t="s">
        <v>605</v>
      </c>
      <c r="B17" s="38">
        <f>E9</f>
        <v>0</v>
      </c>
      <c r="C17" s="38">
        <f>E8</f>
        <v>0</v>
      </c>
      <c r="D17" s="38">
        <f>E3</f>
        <v>39</v>
      </c>
      <c r="E17" s="38">
        <f>E4</f>
        <v>0</v>
      </c>
      <c r="F17" s="38">
        <v>0</v>
      </c>
      <c r="G17" s="38">
        <f>SUM(E5:E7)</f>
        <v>4</v>
      </c>
      <c r="H17" s="39">
        <f t="shared" si="3"/>
        <v>43</v>
      </c>
      <c r="I17" s="40">
        <f t="shared" si="4"/>
        <v>1</v>
      </c>
      <c r="J17" s="40">
        <f t="shared" si="5"/>
        <v>1</v>
      </c>
      <c r="K17" s="41"/>
      <c r="L17" s="42"/>
      <c r="M17" s="41"/>
    </row>
    <row r="18" spans="1:18" x14ac:dyDescent="0.35">
      <c r="A18" s="1" t="s">
        <v>606</v>
      </c>
      <c r="B18" s="38">
        <f>F9</f>
        <v>0</v>
      </c>
      <c r="C18" s="38">
        <f>F8</f>
        <v>0</v>
      </c>
      <c r="D18" s="38">
        <f>F3</f>
        <v>17</v>
      </c>
      <c r="E18" s="38">
        <f>F4</f>
        <v>0</v>
      </c>
      <c r="F18" s="38">
        <v>0</v>
      </c>
      <c r="G18" s="38">
        <f>SUM(F5:F7)</f>
        <v>6</v>
      </c>
      <c r="H18" s="39">
        <f t="shared" si="3"/>
        <v>23</v>
      </c>
      <c r="I18" s="40">
        <f t="shared" si="4"/>
        <v>1</v>
      </c>
      <c r="J18" s="40">
        <f t="shared" si="5"/>
        <v>1</v>
      </c>
      <c r="K18" s="41"/>
      <c r="L18" s="42"/>
      <c r="M18" s="41"/>
    </row>
    <row r="19" spans="1:18" x14ac:dyDescent="0.35">
      <c r="A19" s="1" t="s">
        <v>607</v>
      </c>
      <c r="B19" s="38">
        <f>G9</f>
        <v>0</v>
      </c>
      <c r="C19" s="38">
        <f>G8</f>
        <v>0</v>
      </c>
      <c r="D19" s="38">
        <f>G3</f>
        <v>74</v>
      </c>
      <c r="E19" s="38">
        <f>G4</f>
        <v>0</v>
      </c>
      <c r="F19" s="38">
        <v>0</v>
      </c>
      <c r="G19" s="38">
        <f>SUM(G5:G7)</f>
        <v>18</v>
      </c>
      <c r="H19" s="39">
        <f t="shared" si="3"/>
        <v>92</v>
      </c>
      <c r="I19" s="40">
        <f t="shared" si="4"/>
        <v>1</v>
      </c>
      <c r="J19" s="40">
        <f t="shared" si="5"/>
        <v>1</v>
      </c>
      <c r="K19" s="41"/>
      <c r="L19" s="42"/>
      <c r="M19" s="41"/>
    </row>
    <row r="20" spans="1:18" x14ac:dyDescent="0.35">
      <c r="A20" s="1" t="s">
        <v>608</v>
      </c>
      <c r="B20" s="38">
        <f>L9</f>
        <v>0</v>
      </c>
      <c r="C20" s="38">
        <f>L8</f>
        <v>0</v>
      </c>
      <c r="D20" s="38">
        <f>L3</f>
        <v>43</v>
      </c>
      <c r="E20" s="38">
        <f>L4</f>
        <v>0</v>
      </c>
      <c r="F20" s="38">
        <v>0</v>
      </c>
      <c r="G20" s="38">
        <f>SUM(L5:L7)</f>
        <v>14</v>
      </c>
      <c r="H20" s="39">
        <f t="shared" si="3"/>
        <v>57</v>
      </c>
      <c r="I20" s="40">
        <f t="shared" si="4"/>
        <v>1</v>
      </c>
      <c r="J20" s="40">
        <f t="shared" si="5"/>
        <v>1</v>
      </c>
      <c r="K20" s="41"/>
      <c r="L20" s="42"/>
      <c r="M20" s="41"/>
    </row>
    <row r="21" spans="1:18" x14ac:dyDescent="0.35">
      <c r="A21" s="1" t="s">
        <v>558</v>
      </c>
      <c r="B21" s="38">
        <f>M9</f>
        <v>0</v>
      </c>
      <c r="C21" s="38">
        <f>M8</f>
        <v>0</v>
      </c>
      <c r="D21" s="38">
        <f>M3</f>
        <v>31</v>
      </c>
      <c r="E21" s="38">
        <f>M4</f>
        <v>0</v>
      </c>
      <c r="F21" s="38">
        <v>0</v>
      </c>
      <c r="G21" s="38">
        <f>SUM(M5:M7)</f>
        <v>1</v>
      </c>
      <c r="H21" s="39">
        <f t="shared" si="3"/>
        <v>32</v>
      </c>
      <c r="I21" s="40">
        <f t="shared" si="4"/>
        <v>1</v>
      </c>
      <c r="J21" s="40">
        <f t="shared" si="5"/>
        <v>1</v>
      </c>
      <c r="K21" s="41"/>
      <c r="L21" s="42"/>
      <c r="M21" s="41"/>
    </row>
    <row r="22" spans="1:18" x14ac:dyDescent="0.35">
      <c r="A22" s="46" t="s">
        <v>587</v>
      </c>
      <c r="B22" s="44">
        <f t="shared" ref="B22:H22" si="8">SUM(B14:B21)</f>
        <v>0</v>
      </c>
      <c r="C22" s="44">
        <f t="shared" si="8"/>
        <v>0</v>
      </c>
      <c r="D22" s="44">
        <f t="shared" si="8"/>
        <v>304</v>
      </c>
      <c r="E22" s="44">
        <f t="shared" si="8"/>
        <v>0</v>
      </c>
      <c r="F22" s="44">
        <f t="shared" si="8"/>
        <v>0</v>
      </c>
      <c r="G22" s="44">
        <f t="shared" si="8"/>
        <v>44</v>
      </c>
      <c r="H22" s="44">
        <f t="shared" si="8"/>
        <v>348</v>
      </c>
      <c r="I22" s="200">
        <f t="shared" ref="I22" si="9">IF((H22-G22&gt;0),SUM(D22:F22)/(H22-G22),"0.0%")</f>
        <v>1</v>
      </c>
      <c r="J22" s="200">
        <f t="shared" ref="J22" si="10">IF((D22&gt;0),(D22)/(H22-G22),"0.0%")</f>
        <v>1</v>
      </c>
      <c r="K22" s="44"/>
      <c r="L22" s="45"/>
      <c r="M22" s="45"/>
      <c r="O22" s="46"/>
      <c r="P22" s="46"/>
      <c r="Q22" s="24"/>
    </row>
    <row r="23" spans="1:18" x14ac:dyDescent="0.35">
      <c r="A23" s="2"/>
      <c r="B23" s="38"/>
      <c r="C23" s="38"/>
      <c r="D23" s="38"/>
      <c r="E23" s="38"/>
      <c r="F23" s="38"/>
      <c r="G23" s="38"/>
      <c r="H23" s="38"/>
      <c r="I23" s="38"/>
      <c r="J23" s="38"/>
      <c r="K23" s="38"/>
      <c r="L23" s="39"/>
      <c r="M23" s="40"/>
      <c r="N23" s="40"/>
      <c r="P23" s="41"/>
      <c r="Q23" s="42"/>
      <c r="R23" s="41"/>
    </row>
    <row r="24" spans="1:18" x14ac:dyDescent="0.35">
      <c r="A24" s="2"/>
      <c r="B24" s="38"/>
      <c r="C24" s="38"/>
      <c r="D24" s="38"/>
      <c r="E24" s="38"/>
      <c r="F24" s="38"/>
      <c r="G24" s="38"/>
      <c r="H24" s="38"/>
      <c r="I24" s="38"/>
      <c r="J24" s="38"/>
      <c r="K24" s="38"/>
      <c r="L24" s="39"/>
      <c r="M24" s="40"/>
      <c r="N24" s="40"/>
      <c r="P24" s="41"/>
      <c r="Q24" s="43"/>
      <c r="R24" s="41"/>
    </row>
    <row r="25" spans="1:18" ht="39.5" x14ac:dyDescent="0.35">
      <c r="A25" s="52" t="s">
        <v>591</v>
      </c>
      <c r="B25" s="36" t="s">
        <v>592</v>
      </c>
      <c r="C25" s="36" t="s">
        <v>593</v>
      </c>
      <c r="D25" s="36" t="s">
        <v>594</v>
      </c>
      <c r="E25" s="36" t="s">
        <v>595</v>
      </c>
      <c r="F25" s="36" t="s">
        <v>596</v>
      </c>
      <c r="G25" s="36" t="s">
        <v>597</v>
      </c>
      <c r="H25" s="36" t="s">
        <v>587</v>
      </c>
      <c r="I25" s="37" t="s">
        <v>598</v>
      </c>
      <c r="J25" s="37" t="s">
        <v>599</v>
      </c>
      <c r="K25" s="37" t="s">
        <v>600</v>
      </c>
      <c r="L25" s="37" t="s">
        <v>601</v>
      </c>
      <c r="M25" s="37" t="s">
        <v>602</v>
      </c>
    </row>
    <row r="26" spans="1:18" x14ac:dyDescent="0.35">
      <c r="A26" s="1" t="s">
        <v>585</v>
      </c>
      <c r="B26" s="38">
        <f>K9</f>
        <v>0</v>
      </c>
      <c r="C26" s="38">
        <f>K8</f>
        <v>0</v>
      </c>
      <c r="D26" s="38">
        <f>K3</f>
        <v>132</v>
      </c>
      <c r="E26" s="38">
        <f>K4</f>
        <v>0</v>
      </c>
      <c r="F26" s="38">
        <v>0</v>
      </c>
      <c r="G26" s="38">
        <f>SUM(K5:K7)</f>
        <v>15</v>
      </c>
      <c r="H26" s="39">
        <f>SUM(B26:G26)</f>
        <v>147</v>
      </c>
      <c r="I26" s="40">
        <f>IF((H26-G26&gt;0),SUM(D26:F26)/(H26-G26),"0.0%")</f>
        <v>1</v>
      </c>
      <c r="J26" s="40">
        <f>IF((D26&gt;0),(D26)/(H26-G26),"0.0%")</f>
        <v>1</v>
      </c>
      <c r="K26" s="41"/>
      <c r="L26" s="42"/>
      <c r="M26" s="41"/>
    </row>
    <row r="27" spans="1:18" x14ac:dyDescent="0.35">
      <c r="A27" s="1" t="s">
        <v>583</v>
      </c>
      <c r="B27" s="38">
        <f>I9</f>
        <v>0</v>
      </c>
      <c r="C27" s="38">
        <f>I8</f>
        <v>0</v>
      </c>
      <c r="D27" s="38">
        <f>I3</f>
        <v>42</v>
      </c>
      <c r="E27" s="38">
        <f>I4</f>
        <v>0</v>
      </c>
      <c r="F27" s="38">
        <v>0</v>
      </c>
      <c r="G27" s="38">
        <f>SUM(I5:I7)</f>
        <v>0</v>
      </c>
      <c r="H27" s="39">
        <f>SUM(B27:G27)</f>
        <v>42</v>
      </c>
      <c r="I27" s="40">
        <f>IF((H27-G27&gt;0),SUM(D27:F27)/(H27-G27),"0.0%")</f>
        <v>1</v>
      </c>
      <c r="J27" s="40">
        <f>IF((D27&gt;0),(D27)/(H27-G27),"0.0%")</f>
        <v>1</v>
      </c>
      <c r="K27" s="41"/>
      <c r="L27" s="42"/>
      <c r="M27" s="41"/>
    </row>
    <row r="28" spans="1:18" x14ac:dyDescent="0.35">
      <c r="A28" s="1" t="s">
        <v>584</v>
      </c>
      <c r="B28" s="38">
        <f>J9</f>
        <v>0</v>
      </c>
      <c r="C28" s="38">
        <f>J8</f>
        <v>0</v>
      </c>
      <c r="D28" s="38">
        <f>J3</f>
        <v>30</v>
      </c>
      <c r="E28" s="38">
        <f>J4</f>
        <v>0</v>
      </c>
      <c r="F28" s="38">
        <v>0</v>
      </c>
      <c r="G28" s="38">
        <f>SUM(J5:J7)</f>
        <v>1</v>
      </c>
      <c r="H28" s="39">
        <f>SUM(B28:G28)</f>
        <v>31</v>
      </c>
      <c r="I28" s="40">
        <f>IF((H28-G28&gt;0),SUM(D28:F28)/(H28-G28),"0.0%")</f>
        <v>1</v>
      </c>
      <c r="J28" s="40">
        <f>IF((D28&gt;0),(D28)/(H28-G28),"0.0%")</f>
        <v>1</v>
      </c>
      <c r="K28" s="41"/>
      <c r="L28" s="42"/>
      <c r="M28" s="41"/>
    </row>
    <row r="29" spans="1:18" x14ac:dyDescent="0.35">
      <c r="A29" s="1" t="s">
        <v>582</v>
      </c>
      <c r="B29" s="38">
        <f>H9</f>
        <v>0</v>
      </c>
      <c r="C29" s="38">
        <f>H8</f>
        <v>0</v>
      </c>
      <c r="D29" s="38">
        <f>H3</f>
        <v>15</v>
      </c>
      <c r="E29" s="38">
        <f>H4</f>
        <v>0</v>
      </c>
      <c r="F29" s="38">
        <v>0</v>
      </c>
      <c r="G29" s="38">
        <f>SUM(H5:H7)</f>
        <v>1</v>
      </c>
      <c r="H29" s="39">
        <f>SUM(B29:G29)</f>
        <v>16</v>
      </c>
      <c r="I29" s="40">
        <f>IF((H29-G29&gt;0),SUM(D29:F29)/(H29-G29),"0.0%")</f>
        <v>1</v>
      </c>
      <c r="J29" s="40">
        <f>IF((D29&gt;0),(D29)/(H29-G29),"0.0%")</f>
        <v>1</v>
      </c>
      <c r="K29" s="39"/>
      <c r="L29" s="40"/>
      <c r="M29" s="40" t="s">
        <v>801</v>
      </c>
    </row>
    <row r="30" spans="1:18" x14ac:dyDescent="0.35">
      <c r="A30" s="46" t="s">
        <v>587</v>
      </c>
      <c r="B30" s="44">
        <f t="shared" ref="B30:H30" si="11">SUM(B26:B29)</f>
        <v>0</v>
      </c>
      <c r="C30" s="44">
        <f t="shared" si="11"/>
        <v>0</v>
      </c>
      <c r="D30" s="44">
        <f t="shared" si="11"/>
        <v>219</v>
      </c>
      <c r="E30" s="44">
        <f t="shared" si="11"/>
        <v>0</v>
      </c>
      <c r="F30" s="44">
        <f t="shared" si="11"/>
        <v>0</v>
      </c>
      <c r="G30" s="44">
        <f t="shared" si="11"/>
        <v>17</v>
      </c>
      <c r="H30" s="44">
        <f t="shared" si="11"/>
        <v>236</v>
      </c>
      <c r="I30" s="200">
        <f>IF((H30-G30&gt;0),SUM(D30:F30)/(H30-G30),"0.0%")</f>
        <v>1</v>
      </c>
      <c r="J30" s="200">
        <f>IF((D30&gt;0),(D30)/(H30-G30),"0.0%")</f>
        <v>1</v>
      </c>
      <c r="K30" s="44"/>
      <c r="L30" s="45"/>
      <c r="M30" s="45"/>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D3747-C43B-466A-B721-8C6CB63475DF}">
  <dimension ref="A1:S176"/>
  <sheetViews>
    <sheetView topLeftCell="I142" workbookViewId="0">
      <selection activeCell="N6" sqref="N6"/>
    </sheetView>
  </sheetViews>
  <sheetFormatPr defaultRowHeight="14.5" x14ac:dyDescent="0.35"/>
  <cols>
    <col min="1" max="1" width="18.453125" customWidth="1"/>
    <col min="2" max="2" width="14.453125" customWidth="1"/>
    <col min="3" max="3" width="11.54296875" customWidth="1"/>
    <col min="4" max="4" width="9.453125" customWidth="1"/>
    <col min="5" max="5" width="13.453125" customWidth="1"/>
    <col min="6" max="6" width="10.453125" customWidth="1"/>
    <col min="7" max="7" width="14.54296875" customWidth="1"/>
    <col min="8" max="8" width="10.453125" customWidth="1"/>
    <col min="9" max="9" width="42.453125" style="2" customWidth="1"/>
    <col min="10" max="10" width="24.54296875" style="2" customWidth="1"/>
    <col min="11" max="11" width="112.54296875" style="3" bestFit="1" customWidth="1"/>
    <col min="12" max="12" width="26.54296875" style="2" customWidth="1"/>
    <col min="13" max="13" width="11.453125" style="2" customWidth="1"/>
    <col min="14" max="14" width="15.54296875" style="2" customWidth="1"/>
    <col min="15" max="15" width="25.453125" style="241" bestFit="1" customWidth="1"/>
    <col min="16" max="18" width="9.453125" style="2"/>
    <col min="19" max="19" width="18.54296875" style="2" customWidth="1"/>
  </cols>
  <sheetData>
    <row r="1" spans="1:19" ht="39" x14ac:dyDescent="0.35">
      <c r="A1" s="58" t="s">
        <v>0</v>
      </c>
      <c r="B1" s="58" t="s">
        <v>1</v>
      </c>
      <c r="C1" s="58" t="s">
        <v>2</v>
      </c>
      <c r="D1" s="58" t="s">
        <v>3</v>
      </c>
      <c r="E1" s="58" t="s">
        <v>4</v>
      </c>
      <c r="F1" s="58" t="s">
        <v>5</v>
      </c>
      <c r="G1" s="58" t="s">
        <v>6</v>
      </c>
      <c r="H1" s="59" t="s">
        <v>7</v>
      </c>
      <c r="I1" s="59" t="s">
        <v>8</v>
      </c>
      <c r="J1" s="59" t="s">
        <v>9</v>
      </c>
      <c r="K1" s="84" t="s">
        <v>10</v>
      </c>
      <c r="L1" s="60" t="s">
        <v>11</v>
      </c>
      <c r="M1" s="60" t="s">
        <v>12</v>
      </c>
      <c r="N1" s="59" t="s">
        <v>13</v>
      </c>
      <c r="O1" s="239" t="s">
        <v>14</v>
      </c>
      <c r="P1" s="59" t="s">
        <v>15</v>
      </c>
      <c r="Q1" s="59" t="s">
        <v>16</v>
      </c>
      <c r="R1" s="59" t="s">
        <v>17</v>
      </c>
      <c r="S1" s="59" t="s">
        <v>18</v>
      </c>
    </row>
    <row r="2" spans="1:19" ht="15.5" x14ac:dyDescent="0.35">
      <c r="A2" s="97"/>
      <c r="B2" s="84"/>
      <c r="C2" s="84"/>
      <c r="D2" s="65"/>
      <c r="E2" s="66"/>
      <c r="F2" s="64" t="s">
        <v>250</v>
      </c>
      <c r="G2" s="67"/>
      <c r="H2" s="68"/>
      <c r="I2" s="64"/>
      <c r="J2" s="166"/>
      <c r="K2" s="167" t="s">
        <v>609</v>
      </c>
      <c r="L2" s="19" t="s">
        <v>27</v>
      </c>
      <c r="M2" s="98"/>
      <c r="N2" s="99" t="s">
        <v>22</v>
      </c>
      <c r="O2" s="240"/>
      <c r="P2" s="84"/>
      <c r="Q2" s="84"/>
      <c r="R2" s="84"/>
      <c r="S2" s="84"/>
    </row>
    <row r="3" spans="1:19" ht="43.5" x14ac:dyDescent="0.35">
      <c r="A3" s="97"/>
      <c r="B3" s="84"/>
      <c r="C3" s="84"/>
      <c r="D3" s="65"/>
      <c r="E3" s="66"/>
      <c r="F3" s="64" t="s">
        <v>250</v>
      </c>
      <c r="G3" s="67"/>
      <c r="H3" s="68" t="s">
        <v>610</v>
      </c>
      <c r="I3" s="64"/>
      <c r="J3" s="172" t="s">
        <v>611</v>
      </c>
      <c r="K3" s="3" t="s">
        <v>612</v>
      </c>
      <c r="L3" s="19" t="s">
        <v>27</v>
      </c>
      <c r="M3" s="98"/>
      <c r="N3" s="99" t="s">
        <v>22</v>
      </c>
      <c r="O3" s="240"/>
      <c r="P3" s="84"/>
      <c r="Q3" s="84"/>
      <c r="R3" s="84"/>
      <c r="S3" s="84"/>
    </row>
    <row r="4" spans="1:19" ht="43.5" x14ac:dyDescent="0.35">
      <c r="A4" s="97"/>
      <c r="B4" s="84"/>
      <c r="C4" s="84"/>
      <c r="D4" s="65"/>
      <c r="E4" s="66"/>
      <c r="F4" s="64" t="s">
        <v>250</v>
      </c>
      <c r="G4" s="67"/>
      <c r="H4" s="68" t="s">
        <v>28</v>
      </c>
      <c r="I4" s="64"/>
      <c r="J4" s="172"/>
      <c r="K4" s="3" t="s">
        <v>613</v>
      </c>
      <c r="L4" s="19" t="s">
        <v>27</v>
      </c>
      <c r="M4" s="98"/>
      <c r="N4" s="99" t="s">
        <v>22</v>
      </c>
      <c r="O4" s="240"/>
      <c r="P4" s="84"/>
      <c r="Q4" s="84"/>
      <c r="R4" s="84"/>
      <c r="S4" s="84"/>
    </row>
    <row r="5" spans="1:19" ht="29" x14ac:dyDescent="0.35">
      <c r="A5" s="2"/>
      <c r="B5" s="2"/>
      <c r="C5" s="2"/>
      <c r="D5" s="65"/>
      <c r="E5" s="66"/>
      <c r="F5" s="64" t="s">
        <v>250</v>
      </c>
      <c r="G5" s="67"/>
      <c r="H5" s="68" t="s">
        <v>30</v>
      </c>
      <c r="I5" s="3"/>
      <c r="J5" s="172" t="s">
        <v>614</v>
      </c>
      <c r="K5" s="4" t="s">
        <v>615</v>
      </c>
      <c r="L5" s="19" t="s">
        <v>27</v>
      </c>
      <c r="M5" s="98"/>
      <c r="N5" s="99" t="s">
        <v>22</v>
      </c>
    </row>
    <row r="6" spans="1:19" ht="15.5" x14ac:dyDescent="0.35">
      <c r="A6" s="2"/>
      <c r="B6" s="2"/>
      <c r="C6" s="2"/>
      <c r="D6" s="65"/>
      <c r="E6" s="66"/>
      <c r="F6" s="64"/>
      <c r="G6" s="67"/>
      <c r="H6" s="68"/>
      <c r="I6" s="3"/>
      <c r="J6" s="172" t="s">
        <v>614</v>
      </c>
      <c r="K6" s="4" t="s">
        <v>812</v>
      </c>
      <c r="L6" s="19" t="s">
        <v>27</v>
      </c>
      <c r="M6" s="98"/>
      <c r="N6" s="99" t="s">
        <v>22</v>
      </c>
    </row>
    <row r="7" spans="1:19" s="233" customFormat="1" ht="15.5" x14ac:dyDescent="0.35">
      <c r="A7" s="173"/>
      <c r="B7" s="173"/>
      <c r="C7" s="173"/>
      <c r="D7" s="228"/>
      <c r="E7" s="228"/>
      <c r="F7" s="229" t="s">
        <v>250</v>
      </c>
      <c r="G7" s="230"/>
      <c r="H7" s="230"/>
      <c r="I7" s="170"/>
      <c r="J7" s="168"/>
      <c r="K7" s="169" t="s">
        <v>616</v>
      </c>
      <c r="L7" s="231" t="s">
        <v>27</v>
      </c>
      <c r="M7" s="232"/>
      <c r="N7" s="229"/>
      <c r="O7" s="242"/>
      <c r="P7" s="173"/>
      <c r="Q7" s="173"/>
      <c r="R7" s="173"/>
      <c r="S7" s="173"/>
    </row>
    <row r="8" spans="1:19" x14ac:dyDescent="0.35">
      <c r="A8" s="2"/>
      <c r="B8" s="2"/>
      <c r="C8" s="2"/>
      <c r="D8" s="65"/>
      <c r="E8" s="66"/>
      <c r="F8" s="64" t="s">
        <v>250</v>
      </c>
      <c r="G8" s="67"/>
      <c r="H8" s="68" t="s">
        <v>32</v>
      </c>
      <c r="I8" s="3"/>
      <c r="J8" s="1" t="s">
        <v>617</v>
      </c>
      <c r="K8" s="3" t="s">
        <v>618</v>
      </c>
      <c r="L8" s="19" t="s">
        <v>27</v>
      </c>
      <c r="M8" s="98"/>
      <c r="N8" s="99" t="s">
        <v>22</v>
      </c>
    </row>
    <row r="9" spans="1:19" x14ac:dyDescent="0.35">
      <c r="A9" s="97"/>
      <c r="B9" s="2"/>
      <c r="C9" s="2"/>
      <c r="D9" s="65"/>
      <c r="E9" s="66"/>
      <c r="F9" s="64" t="s">
        <v>250</v>
      </c>
      <c r="G9" s="67"/>
      <c r="H9" s="68" t="s">
        <v>36</v>
      </c>
      <c r="I9" s="3"/>
      <c r="J9" s="1" t="s">
        <v>619</v>
      </c>
      <c r="L9" s="19" t="s">
        <v>27</v>
      </c>
      <c r="M9" s="98"/>
      <c r="N9" s="99" t="s">
        <v>22</v>
      </c>
    </row>
    <row r="10" spans="1:19" x14ac:dyDescent="0.35">
      <c r="A10" s="97"/>
      <c r="B10" s="2"/>
      <c r="C10" s="2"/>
      <c r="D10" s="65"/>
      <c r="E10" s="66"/>
      <c r="F10" s="64" t="s">
        <v>250</v>
      </c>
      <c r="G10" s="67"/>
      <c r="H10" s="68" t="s">
        <v>38</v>
      </c>
      <c r="I10" s="3"/>
      <c r="J10" s="180" t="s">
        <v>620</v>
      </c>
      <c r="L10" s="19" t="s">
        <v>27</v>
      </c>
      <c r="M10" s="98"/>
      <c r="N10" s="99" t="s">
        <v>22</v>
      </c>
    </row>
    <row r="11" spans="1:19" x14ac:dyDescent="0.35">
      <c r="A11" s="97"/>
      <c r="B11" s="2"/>
      <c r="C11" s="2"/>
      <c r="D11" s="65"/>
      <c r="E11" s="66"/>
      <c r="F11" s="64" t="s">
        <v>250</v>
      </c>
      <c r="G11" s="67"/>
      <c r="H11" s="68" t="s">
        <v>40</v>
      </c>
      <c r="I11" s="3"/>
      <c r="J11" s="247" t="s">
        <v>621</v>
      </c>
      <c r="K11" s="3" t="s">
        <v>622</v>
      </c>
      <c r="L11" s="19" t="s">
        <v>27</v>
      </c>
      <c r="M11" s="98"/>
      <c r="N11" s="99" t="s">
        <v>22</v>
      </c>
    </row>
    <row r="12" spans="1:19" s="92" customFormat="1" x14ac:dyDescent="0.35">
      <c r="A12" s="74"/>
      <c r="B12" s="46"/>
      <c r="C12" s="46"/>
      <c r="D12" s="88"/>
      <c r="E12" s="88"/>
      <c r="F12" s="87" t="s">
        <v>250</v>
      </c>
      <c r="G12" s="89"/>
      <c r="H12" s="89" t="s">
        <v>42</v>
      </c>
      <c r="I12" s="24"/>
      <c r="J12" s="257" t="s">
        <v>623</v>
      </c>
      <c r="K12" s="24" t="s">
        <v>624</v>
      </c>
      <c r="L12" s="258" t="s">
        <v>27</v>
      </c>
      <c r="M12" s="259"/>
      <c r="N12" s="87" t="s">
        <v>22</v>
      </c>
      <c r="O12" s="260"/>
      <c r="P12" s="46"/>
      <c r="Q12" s="46"/>
      <c r="R12" s="46"/>
      <c r="S12" s="46"/>
    </row>
    <row r="13" spans="1:19" x14ac:dyDescent="0.35">
      <c r="A13" s="2"/>
      <c r="B13" s="2"/>
      <c r="C13" s="2"/>
      <c r="D13" s="2"/>
      <c r="E13" s="2"/>
      <c r="F13" s="64" t="s">
        <v>250</v>
      </c>
      <c r="G13" s="2"/>
      <c r="H13" s="68" t="s">
        <v>148</v>
      </c>
      <c r="J13" s="247" t="s">
        <v>625</v>
      </c>
      <c r="K13" s="3" t="s">
        <v>624</v>
      </c>
      <c r="L13" s="19" t="s">
        <v>27</v>
      </c>
      <c r="N13" s="99" t="s">
        <v>22</v>
      </c>
    </row>
    <row r="14" spans="1:19" x14ac:dyDescent="0.35">
      <c r="A14" s="2"/>
      <c r="B14" s="2"/>
      <c r="C14" s="2"/>
      <c r="D14" s="2"/>
      <c r="E14" s="2"/>
      <c r="F14" s="64" t="s">
        <v>250</v>
      </c>
      <c r="G14" s="2"/>
      <c r="H14" s="68" t="s">
        <v>150</v>
      </c>
      <c r="J14" s="247" t="s">
        <v>626</v>
      </c>
      <c r="K14" s="3" t="s">
        <v>624</v>
      </c>
      <c r="L14" s="19" t="s">
        <v>27</v>
      </c>
      <c r="N14" s="99" t="s">
        <v>22</v>
      </c>
    </row>
    <row r="15" spans="1:19" x14ac:dyDescent="0.35">
      <c r="A15" s="2"/>
      <c r="B15" s="2"/>
      <c r="C15" s="2"/>
      <c r="D15" s="2"/>
      <c r="E15" s="2"/>
      <c r="F15" s="64" t="s">
        <v>250</v>
      </c>
      <c r="G15" s="2"/>
      <c r="H15" s="68" t="s">
        <v>44</v>
      </c>
      <c r="L15" s="19" t="s">
        <v>27</v>
      </c>
      <c r="N15" s="99" t="s">
        <v>22</v>
      </c>
    </row>
    <row r="16" spans="1:19" x14ac:dyDescent="0.35">
      <c r="A16" s="2"/>
      <c r="B16" s="2"/>
      <c r="C16" s="2"/>
      <c r="D16" s="2"/>
      <c r="E16" s="2"/>
      <c r="F16" s="64" t="s">
        <v>250</v>
      </c>
      <c r="G16" s="2"/>
      <c r="H16" s="68" t="s">
        <v>46</v>
      </c>
      <c r="J16" s="180" t="s">
        <v>627</v>
      </c>
      <c r="L16" s="19" t="s">
        <v>27</v>
      </c>
      <c r="N16" s="99" t="s">
        <v>22</v>
      </c>
    </row>
    <row r="17" spans="1:19" x14ac:dyDescent="0.35">
      <c r="A17" s="2"/>
      <c r="B17" s="2"/>
      <c r="C17" s="2"/>
      <c r="D17" s="2"/>
      <c r="E17" s="2"/>
      <c r="F17" s="64" t="s">
        <v>250</v>
      </c>
      <c r="G17" s="2"/>
      <c r="H17" s="68" t="s">
        <v>48</v>
      </c>
      <c r="J17" s="247" t="s">
        <v>621</v>
      </c>
      <c r="K17" s="3" t="s">
        <v>624</v>
      </c>
      <c r="L17" s="19" t="s">
        <v>27</v>
      </c>
      <c r="N17" s="99" t="s">
        <v>22</v>
      </c>
    </row>
    <row r="18" spans="1:19" x14ac:dyDescent="0.35">
      <c r="A18" s="2"/>
      <c r="B18" s="2"/>
      <c r="C18" s="2"/>
      <c r="D18" s="2"/>
      <c r="E18" s="2"/>
      <c r="F18" s="64" t="s">
        <v>250</v>
      </c>
      <c r="G18" s="2"/>
      <c r="H18" s="68" t="s">
        <v>51</v>
      </c>
      <c r="J18" s="247" t="s">
        <v>625</v>
      </c>
      <c r="K18" s="3" t="s">
        <v>624</v>
      </c>
      <c r="L18" s="19" t="s">
        <v>27</v>
      </c>
      <c r="N18" s="99" t="s">
        <v>22</v>
      </c>
    </row>
    <row r="19" spans="1:19" x14ac:dyDescent="0.35">
      <c r="A19" s="2"/>
      <c r="B19" s="2"/>
      <c r="C19" s="2"/>
      <c r="D19" s="2"/>
      <c r="E19" s="2"/>
      <c r="F19" s="64" t="s">
        <v>250</v>
      </c>
      <c r="G19" s="2"/>
      <c r="H19" s="68" t="s">
        <v>53</v>
      </c>
      <c r="J19" s="180" t="s">
        <v>628</v>
      </c>
      <c r="L19" s="19" t="s">
        <v>27</v>
      </c>
      <c r="N19" s="99" t="s">
        <v>22</v>
      </c>
    </row>
    <row r="20" spans="1:19" x14ac:dyDescent="0.35">
      <c r="A20" s="2"/>
      <c r="B20" s="2"/>
      <c r="C20" s="2"/>
      <c r="D20" s="2"/>
      <c r="E20" s="2"/>
      <c r="F20" s="64" t="s">
        <v>250</v>
      </c>
      <c r="G20" s="2"/>
      <c r="H20" s="68" t="s">
        <v>55</v>
      </c>
      <c r="J20" s="247" t="s">
        <v>629</v>
      </c>
      <c r="K20" s="3" t="s">
        <v>624</v>
      </c>
      <c r="L20" s="19" t="s">
        <v>27</v>
      </c>
      <c r="N20" s="99" t="s">
        <v>22</v>
      </c>
    </row>
    <row r="21" spans="1:19" x14ac:dyDescent="0.35">
      <c r="A21" s="2"/>
      <c r="B21" s="2"/>
      <c r="C21" s="2"/>
      <c r="D21" s="2"/>
      <c r="E21" s="2"/>
      <c r="F21" s="64" t="s">
        <v>250</v>
      </c>
      <c r="G21" s="2"/>
      <c r="H21" s="68" t="s">
        <v>57</v>
      </c>
      <c r="J21" s="247" t="s">
        <v>630</v>
      </c>
      <c r="K21" s="3" t="s">
        <v>631</v>
      </c>
      <c r="L21" s="19" t="s">
        <v>27</v>
      </c>
      <c r="N21" s="99" t="s">
        <v>22</v>
      </c>
    </row>
    <row r="22" spans="1:19" s="92" customFormat="1" x14ac:dyDescent="0.35">
      <c r="A22" s="46"/>
      <c r="B22" s="46"/>
      <c r="C22" s="46"/>
      <c r="D22" s="46"/>
      <c r="E22" s="46"/>
      <c r="F22" s="87" t="s">
        <v>250</v>
      </c>
      <c r="G22" s="46"/>
      <c r="H22" s="89" t="s">
        <v>59</v>
      </c>
      <c r="I22" s="46"/>
      <c r="J22" s="257" t="s">
        <v>632</v>
      </c>
      <c r="K22" s="24" t="s">
        <v>624</v>
      </c>
      <c r="L22" s="258" t="s">
        <v>27</v>
      </c>
      <c r="M22" s="46"/>
      <c r="N22" s="87" t="s">
        <v>22</v>
      </c>
      <c r="O22" s="260"/>
      <c r="P22" s="46"/>
      <c r="Q22" s="46"/>
      <c r="R22" s="46"/>
      <c r="S22" s="46"/>
    </row>
    <row r="23" spans="1:19" x14ac:dyDescent="0.35">
      <c r="A23" s="2"/>
      <c r="B23" s="2"/>
      <c r="C23" s="2"/>
      <c r="D23" s="2"/>
      <c r="E23" s="2"/>
      <c r="F23" s="64" t="s">
        <v>250</v>
      </c>
      <c r="G23" s="2"/>
      <c r="H23" s="68" t="s">
        <v>61</v>
      </c>
      <c r="J23" s="2" t="s">
        <v>633</v>
      </c>
      <c r="K23" s="3" t="s">
        <v>624</v>
      </c>
      <c r="L23" s="19" t="s">
        <v>27</v>
      </c>
      <c r="N23" s="99" t="s">
        <v>22</v>
      </c>
    </row>
    <row r="24" spans="1:19" s="233" customFormat="1" x14ac:dyDescent="0.35">
      <c r="A24" s="173"/>
      <c r="B24" s="173"/>
      <c r="C24" s="173"/>
      <c r="D24" s="173"/>
      <c r="E24" s="173"/>
      <c r="F24" s="229" t="s">
        <v>250</v>
      </c>
      <c r="G24" s="173"/>
      <c r="H24" s="173"/>
      <c r="I24" s="173"/>
      <c r="J24" s="170"/>
      <c r="K24" s="169" t="s">
        <v>604</v>
      </c>
      <c r="L24" s="231" t="s">
        <v>27</v>
      </c>
      <c r="M24" s="173"/>
      <c r="N24" s="229"/>
      <c r="O24" s="242"/>
      <c r="P24" s="173"/>
      <c r="Q24" s="173"/>
      <c r="R24" s="173"/>
      <c r="S24" s="173"/>
    </row>
    <row r="25" spans="1:19" x14ac:dyDescent="0.35">
      <c r="A25" s="2"/>
      <c r="B25" s="2"/>
      <c r="C25" s="2"/>
      <c r="D25" s="2"/>
      <c r="E25" s="2"/>
      <c r="F25" s="64" t="s">
        <v>250</v>
      </c>
      <c r="G25" s="2"/>
      <c r="H25" s="68" t="s">
        <v>161</v>
      </c>
      <c r="J25" s="3" t="s">
        <v>634</v>
      </c>
      <c r="K25" s="3" t="s">
        <v>237</v>
      </c>
      <c r="L25" s="19" t="s">
        <v>27</v>
      </c>
      <c r="N25" s="99" t="s">
        <v>22</v>
      </c>
    </row>
    <row r="26" spans="1:19" x14ac:dyDescent="0.35">
      <c r="A26" s="2"/>
      <c r="B26" s="2"/>
      <c r="C26" s="2"/>
      <c r="D26" s="2"/>
      <c r="E26" s="2"/>
      <c r="F26" s="64" t="s">
        <v>250</v>
      </c>
      <c r="G26" s="2"/>
      <c r="H26" s="68" t="s">
        <v>63</v>
      </c>
      <c r="J26" s="3"/>
      <c r="K26" s="64" t="s">
        <v>238</v>
      </c>
      <c r="L26" s="19" t="s">
        <v>27</v>
      </c>
      <c r="N26" s="99" t="s">
        <v>22</v>
      </c>
    </row>
    <row r="27" spans="1:19" x14ac:dyDescent="0.35">
      <c r="A27" s="2"/>
      <c r="B27" s="2"/>
      <c r="C27" s="2"/>
      <c r="D27" s="2"/>
      <c r="E27" s="2"/>
      <c r="F27" s="64" t="s">
        <v>250</v>
      </c>
      <c r="G27" s="2"/>
      <c r="H27" s="68" t="s">
        <v>65</v>
      </c>
      <c r="J27" s="3"/>
      <c r="K27" s="3" t="s">
        <v>635</v>
      </c>
      <c r="L27" s="19" t="s">
        <v>27</v>
      </c>
      <c r="N27" s="99" t="s">
        <v>22</v>
      </c>
    </row>
    <row r="28" spans="1:19" x14ac:dyDescent="0.35">
      <c r="A28" s="2"/>
      <c r="B28" s="2"/>
      <c r="C28" s="2"/>
      <c r="D28" s="2"/>
      <c r="E28" s="2"/>
      <c r="F28" s="64" t="s">
        <v>250</v>
      </c>
      <c r="G28" s="2"/>
      <c r="H28" s="68" t="s">
        <v>67</v>
      </c>
      <c r="J28" s="3"/>
      <c r="K28" s="64" t="s">
        <v>239</v>
      </c>
      <c r="L28" s="19" t="s">
        <v>27</v>
      </c>
      <c r="N28" s="99" t="s">
        <v>22</v>
      </c>
    </row>
    <row r="29" spans="1:19" x14ac:dyDescent="0.35">
      <c r="A29" s="2"/>
      <c r="B29" s="2"/>
      <c r="C29" s="2"/>
      <c r="D29" s="2"/>
      <c r="E29" s="2"/>
      <c r="F29" s="64" t="s">
        <v>250</v>
      </c>
      <c r="G29" s="2"/>
      <c r="H29" s="68" t="s">
        <v>69</v>
      </c>
      <c r="K29" s="64" t="s">
        <v>240</v>
      </c>
      <c r="L29" s="19" t="s">
        <v>27</v>
      </c>
      <c r="N29" s="99" t="s">
        <v>22</v>
      </c>
    </row>
    <row r="30" spans="1:19" ht="26" x14ac:dyDescent="0.35">
      <c r="A30" s="2"/>
      <c r="B30" s="2"/>
      <c r="C30" s="2"/>
      <c r="D30" s="2"/>
      <c r="E30" s="2"/>
      <c r="F30" s="64" t="s">
        <v>250</v>
      </c>
      <c r="G30" s="2"/>
      <c r="H30" s="68" t="s">
        <v>72</v>
      </c>
      <c r="K30" s="64" t="s">
        <v>636</v>
      </c>
      <c r="L30" s="19" t="s">
        <v>27</v>
      </c>
      <c r="N30" s="99" t="s">
        <v>22</v>
      </c>
    </row>
    <row r="31" spans="1:19" x14ac:dyDescent="0.35">
      <c r="A31" s="2"/>
      <c r="B31" s="2"/>
      <c r="C31" s="2"/>
      <c r="D31" s="2"/>
      <c r="E31" s="2"/>
      <c r="F31" s="64" t="s">
        <v>250</v>
      </c>
      <c r="G31" s="2"/>
      <c r="H31" s="68" t="s">
        <v>74</v>
      </c>
      <c r="K31" s="64" t="s">
        <v>637</v>
      </c>
      <c r="L31" s="19" t="s">
        <v>27</v>
      </c>
      <c r="N31" s="99" t="s">
        <v>22</v>
      </c>
    </row>
    <row r="32" spans="1:19" x14ac:dyDescent="0.35">
      <c r="A32" s="2"/>
      <c r="B32" s="2"/>
      <c r="C32" s="2"/>
      <c r="D32" s="2"/>
      <c r="E32" s="2"/>
      <c r="F32" s="64" t="s">
        <v>250</v>
      </c>
      <c r="G32" s="2"/>
      <c r="H32" s="68" t="s">
        <v>78</v>
      </c>
      <c r="J32" s="2" t="s">
        <v>638</v>
      </c>
      <c r="K32" s="3" t="s">
        <v>639</v>
      </c>
      <c r="L32" s="19" t="s">
        <v>27</v>
      </c>
      <c r="N32" s="99" t="s">
        <v>22</v>
      </c>
    </row>
    <row r="33" spans="1:19" x14ac:dyDescent="0.35">
      <c r="A33" s="2"/>
      <c r="B33" s="2"/>
      <c r="C33" s="2"/>
      <c r="D33" s="2"/>
      <c r="E33" s="2"/>
      <c r="F33" s="64" t="s">
        <v>250</v>
      </c>
      <c r="G33" s="2"/>
      <c r="H33" s="68" t="s">
        <v>79</v>
      </c>
      <c r="K33" s="3" t="s">
        <v>640</v>
      </c>
      <c r="L33" s="19" t="s">
        <v>27</v>
      </c>
      <c r="N33" s="99" t="s">
        <v>22</v>
      </c>
    </row>
    <row r="34" spans="1:19" ht="18.5" x14ac:dyDescent="0.45">
      <c r="A34" s="2"/>
      <c r="B34" s="2"/>
      <c r="C34" s="2"/>
      <c r="D34" s="2"/>
      <c r="E34" s="2"/>
      <c r="F34" s="64" t="s">
        <v>250</v>
      </c>
      <c r="G34" s="2"/>
      <c r="H34" s="68"/>
      <c r="J34" s="273" t="s">
        <v>641</v>
      </c>
      <c r="K34" s="273"/>
      <c r="L34" s="19" t="s">
        <v>27</v>
      </c>
      <c r="N34" s="99"/>
    </row>
    <row r="35" spans="1:19" s="233" customFormat="1" x14ac:dyDescent="0.35">
      <c r="A35" s="173"/>
      <c r="B35" s="173"/>
      <c r="C35" s="173"/>
      <c r="D35" s="173"/>
      <c r="E35" s="173"/>
      <c r="F35" s="229" t="s">
        <v>250</v>
      </c>
      <c r="G35" s="173"/>
      <c r="H35" s="173"/>
      <c r="I35" s="173"/>
      <c r="J35" s="173"/>
      <c r="K35" s="169" t="s">
        <v>642</v>
      </c>
      <c r="L35" s="231" t="s">
        <v>27</v>
      </c>
      <c r="M35" s="173"/>
      <c r="N35" s="229"/>
      <c r="O35" s="242"/>
      <c r="P35" s="173"/>
      <c r="Q35" s="173"/>
      <c r="R35" s="173"/>
      <c r="S35" s="173"/>
    </row>
    <row r="36" spans="1:19" ht="26.5" x14ac:dyDescent="0.35">
      <c r="A36" s="63"/>
      <c r="B36" s="64"/>
      <c r="C36" s="64"/>
      <c r="D36" s="84"/>
      <c r="E36" s="66"/>
      <c r="F36" s="64" t="s">
        <v>250</v>
      </c>
      <c r="G36" s="67"/>
      <c r="H36" s="68" t="s">
        <v>80</v>
      </c>
      <c r="J36" s="81" t="s">
        <v>49</v>
      </c>
      <c r="K36" s="2" t="s">
        <v>253</v>
      </c>
      <c r="L36" s="72" t="s">
        <v>27</v>
      </c>
      <c r="N36" s="99" t="s">
        <v>22</v>
      </c>
    </row>
    <row r="37" spans="1:19" x14ac:dyDescent="0.35">
      <c r="A37" s="63"/>
      <c r="B37" s="64"/>
      <c r="C37" s="64"/>
      <c r="D37" s="84"/>
      <c r="E37" s="66"/>
      <c r="F37" s="64" t="s">
        <v>250</v>
      </c>
      <c r="G37" s="67"/>
      <c r="H37" s="68" t="s">
        <v>81</v>
      </c>
      <c r="J37" s="70"/>
      <c r="K37" s="2" t="s">
        <v>254</v>
      </c>
      <c r="L37" s="72" t="s">
        <v>27</v>
      </c>
      <c r="N37" s="99" t="s">
        <v>22</v>
      </c>
    </row>
    <row r="38" spans="1:19" x14ac:dyDescent="0.35">
      <c r="A38" s="63"/>
      <c r="B38" s="64"/>
      <c r="C38" s="64"/>
      <c r="D38" s="84"/>
      <c r="E38" s="66"/>
      <c r="F38" s="64" t="s">
        <v>250</v>
      </c>
      <c r="G38" s="67"/>
      <c r="H38" s="68" t="s">
        <v>82</v>
      </c>
      <c r="J38" s="70"/>
      <c r="K38" s="2" t="s">
        <v>255</v>
      </c>
      <c r="L38" s="72" t="s">
        <v>27</v>
      </c>
      <c r="N38" s="99" t="s">
        <v>22</v>
      </c>
    </row>
    <row r="39" spans="1:19" x14ac:dyDescent="0.35">
      <c r="A39" s="63"/>
      <c r="B39" s="64"/>
      <c r="C39" s="64"/>
      <c r="D39" s="84"/>
      <c r="E39" s="66"/>
      <c r="F39" s="64" t="s">
        <v>250</v>
      </c>
      <c r="G39" s="67"/>
      <c r="H39" s="68" t="s">
        <v>83</v>
      </c>
      <c r="J39" s="70"/>
      <c r="K39" s="3" t="s">
        <v>256</v>
      </c>
      <c r="L39" s="72" t="s">
        <v>27</v>
      </c>
      <c r="N39" s="99" t="s">
        <v>22</v>
      </c>
    </row>
    <row r="40" spans="1:19" x14ac:dyDescent="0.35">
      <c r="A40" s="2"/>
      <c r="B40" s="2"/>
      <c r="C40" s="2"/>
      <c r="D40" s="2"/>
      <c r="E40" s="66"/>
      <c r="F40" s="64" t="s">
        <v>250</v>
      </c>
      <c r="G40" s="67"/>
      <c r="H40" s="68" t="s">
        <v>84</v>
      </c>
      <c r="K40" s="2" t="s">
        <v>257</v>
      </c>
      <c r="L40" s="72" t="s">
        <v>27</v>
      </c>
      <c r="N40" s="99" t="s">
        <v>22</v>
      </c>
    </row>
    <row r="41" spans="1:19" x14ac:dyDescent="0.35">
      <c r="A41" s="2"/>
      <c r="B41" s="2"/>
      <c r="C41" s="2"/>
      <c r="D41" s="2"/>
      <c r="E41" s="66"/>
      <c r="F41" s="64" t="s">
        <v>250</v>
      </c>
      <c r="G41" s="67"/>
      <c r="H41" s="68" t="s">
        <v>86</v>
      </c>
      <c r="K41" s="2" t="s">
        <v>259</v>
      </c>
      <c r="L41" s="72" t="s">
        <v>27</v>
      </c>
      <c r="N41" s="99" t="s">
        <v>22</v>
      </c>
    </row>
    <row r="42" spans="1:19" x14ac:dyDescent="0.35">
      <c r="A42" s="2"/>
      <c r="B42" s="2"/>
      <c r="C42" s="2"/>
      <c r="D42" s="2"/>
      <c r="E42" s="66"/>
      <c r="F42" s="64" t="s">
        <v>250</v>
      </c>
      <c r="G42" s="67"/>
      <c r="H42" s="68" t="s">
        <v>88</v>
      </c>
      <c r="K42" s="2" t="s">
        <v>262</v>
      </c>
      <c r="L42" s="72" t="s">
        <v>27</v>
      </c>
      <c r="N42" s="99" t="s">
        <v>22</v>
      </c>
    </row>
    <row r="43" spans="1:19" ht="26.5" x14ac:dyDescent="0.35">
      <c r="A43" s="2"/>
      <c r="B43" s="2"/>
      <c r="C43" s="2"/>
      <c r="D43" s="2"/>
      <c r="E43" s="66"/>
      <c r="F43" s="64" t="s">
        <v>250</v>
      </c>
      <c r="G43" s="67"/>
      <c r="H43" s="68" t="s">
        <v>89</v>
      </c>
      <c r="J43" s="81" t="s">
        <v>91</v>
      </c>
      <c r="K43" s="2" t="s">
        <v>263</v>
      </c>
      <c r="L43" s="72" t="s">
        <v>27</v>
      </c>
      <c r="N43" s="99" t="s">
        <v>22</v>
      </c>
    </row>
    <row r="44" spans="1:19" x14ac:dyDescent="0.35">
      <c r="A44" s="2"/>
      <c r="B44" s="2"/>
      <c r="C44" s="2"/>
      <c r="D44" s="2"/>
      <c r="E44" s="66"/>
      <c r="F44" s="64" t="s">
        <v>250</v>
      </c>
      <c r="G44" s="67"/>
      <c r="H44" s="68" t="s">
        <v>90</v>
      </c>
      <c r="K44" s="2" t="s">
        <v>264</v>
      </c>
      <c r="L44" s="72" t="s">
        <v>27</v>
      </c>
      <c r="N44" s="99" t="s">
        <v>22</v>
      </c>
    </row>
    <row r="45" spans="1:19" x14ac:dyDescent="0.35">
      <c r="A45" s="2"/>
      <c r="B45" s="2"/>
      <c r="C45" s="2"/>
      <c r="D45" s="2"/>
      <c r="E45" s="66"/>
      <c r="F45" s="64" t="s">
        <v>250</v>
      </c>
      <c r="G45" s="67"/>
      <c r="H45" s="68" t="s">
        <v>93</v>
      </c>
      <c r="K45" s="2" t="s">
        <v>265</v>
      </c>
      <c r="L45" s="72" t="s">
        <v>27</v>
      </c>
      <c r="N45" s="99" t="s">
        <v>22</v>
      </c>
    </row>
    <row r="46" spans="1:19" x14ac:dyDescent="0.35">
      <c r="A46" s="2"/>
      <c r="B46" s="2"/>
      <c r="C46" s="2"/>
      <c r="D46" s="2"/>
      <c r="E46" s="66"/>
      <c r="F46" s="64" t="s">
        <v>250</v>
      </c>
      <c r="G46" s="67"/>
      <c r="H46" s="68" t="s">
        <v>95</v>
      </c>
      <c r="K46" s="2" t="s">
        <v>266</v>
      </c>
      <c r="L46" s="72" t="s">
        <v>27</v>
      </c>
      <c r="N46" s="99" t="s">
        <v>22</v>
      </c>
    </row>
    <row r="47" spans="1:19" x14ac:dyDescent="0.35">
      <c r="A47" s="2"/>
      <c r="B47" s="2"/>
      <c r="C47" s="2"/>
      <c r="D47" s="2"/>
      <c r="E47" s="66"/>
      <c r="F47" s="64" t="s">
        <v>250</v>
      </c>
      <c r="G47" s="67"/>
      <c r="H47" s="68" t="s">
        <v>97</v>
      </c>
      <c r="K47" s="2" t="s">
        <v>270</v>
      </c>
      <c r="L47" s="72" t="s">
        <v>27</v>
      </c>
      <c r="N47" s="99" t="s">
        <v>22</v>
      </c>
    </row>
    <row r="48" spans="1:19" x14ac:dyDescent="0.35">
      <c r="A48" s="2"/>
      <c r="B48" s="2"/>
      <c r="C48" s="2"/>
      <c r="D48" s="2"/>
      <c r="E48" s="66"/>
      <c r="F48" s="64" t="s">
        <v>250</v>
      </c>
      <c r="G48" s="67"/>
      <c r="H48" s="68" t="s">
        <v>99</v>
      </c>
      <c r="J48" s="81"/>
      <c r="K48" s="2" t="s">
        <v>271</v>
      </c>
      <c r="L48" s="72" t="s">
        <v>27</v>
      </c>
      <c r="N48" s="99" t="s">
        <v>22</v>
      </c>
    </row>
    <row r="49" spans="1:19" x14ac:dyDescent="0.35">
      <c r="A49" s="2"/>
      <c r="B49" s="2"/>
      <c r="C49" s="2"/>
      <c r="D49" s="2"/>
      <c r="E49" s="66"/>
      <c r="F49" s="64" t="s">
        <v>250</v>
      </c>
      <c r="G49" s="67"/>
      <c r="H49" s="68" t="s">
        <v>101</v>
      </c>
      <c r="K49" s="2" t="s">
        <v>272</v>
      </c>
      <c r="L49" s="72" t="s">
        <v>27</v>
      </c>
      <c r="N49" s="99" t="s">
        <v>22</v>
      </c>
    </row>
    <row r="50" spans="1:19" x14ac:dyDescent="0.35">
      <c r="A50" s="2"/>
      <c r="B50" s="2"/>
      <c r="C50" s="2"/>
      <c r="D50" s="2"/>
      <c r="E50" s="66"/>
      <c r="F50" s="64" t="s">
        <v>250</v>
      </c>
      <c r="G50" s="67"/>
      <c r="H50" s="68" t="s">
        <v>103</v>
      </c>
      <c r="K50" s="2" t="s">
        <v>273</v>
      </c>
      <c r="L50" s="72" t="s">
        <v>27</v>
      </c>
      <c r="N50" s="99" t="s">
        <v>22</v>
      </c>
    </row>
    <row r="51" spans="1:19" x14ac:dyDescent="0.35">
      <c r="A51" s="2"/>
      <c r="B51" s="2"/>
      <c r="C51" s="2"/>
      <c r="D51" s="2"/>
      <c r="E51" s="66"/>
      <c r="F51" s="64" t="s">
        <v>250</v>
      </c>
      <c r="G51" s="67"/>
      <c r="H51" s="68" t="s">
        <v>105</v>
      </c>
      <c r="K51" s="2" t="s">
        <v>274</v>
      </c>
      <c r="L51" s="72" t="s">
        <v>27</v>
      </c>
      <c r="N51" s="99" t="s">
        <v>22</v>
      </c>
    </row>
    <row r="52" spans="1:19" s="233" customFormat="1" ht="29" x14ac:dyDescent="0.35">
      <c r="A52" s="173"/>
      <c r="B52" s="173"/>
      <c r="C52" s="173"/>
      <c r="D52" s="173"/>
      <c r="E52" s="173"/>
      <c r="F52" s="229" t="s">
        <v>250</v>
      </c>
      <c r="G52" s="173"/>
      <c r="H52" s="173"/>
      <c r="I52" s="173"/>
      <c r="J52" s="173"/>
      <c r="K52" s="169" t="s">
        <v>643</v>
      </c>
      <c r="L52" s="234" t="s">
        <v>27</v>
      </c>
      <c r="M52" s="173"/>
      <c r="N52" s="229"/>
      <c r="O52" s="242"/>
      <c r="P52" s="173"/>
      <c r="Q52" s="173"/>
      <c r="R52" s="173"/>
      <c r="S52" s="173"/>
    </row>
    <row r="53" spans="1:19" ht="24" customHeight="1" x14ac:dyDescent="0.35">
      <c r="A53" s="70" t="s">
        <v>275</v>
      </c>
      <c r="B53" s="2"/>
      <c r="C53" s="2"/>
      <c r="D53" s="84"/>
      <c r="E53" s="66"/>
      <c r="F53" s="2"/>
      <c r="G53" s="67"/>
      <c r="H53" s="68" t="s">
        <v>107</v>
      </c>
      <c r="I53" s="69" t="s">
        <v>20</v>
      </c>
      <c r="J53" s="83" t="s">
        <v>276</v>
      </c>
      <c r="K53" s="53" t="s">
        <v>277</v>
      </c>
      <c r="L53" s="54" t="s">
        <v>27</v>
      </c>
      <c r="N53" s="64" t="s">
        <v>22</v>
      </c>
    </row>
    <row r="54" spans="1:19" x14ac:dyDescent="0.35">
      <c r="A54" s="2"/>
      <c r="B54" s="2"/>
      <c r="C54" s="2"/>
      <c r="D54" s="84"/>
      <c r="E54" s="66"/>
      <c r="F54" s="2"/>
      <c r="G54" s="67"/>
      <c r="H54" s="68" t="s">
        <v>109</v>
      </c>
      <c r="J54" s="85"/>
      <c r="K54" s="93" t="s">
        <v>278</v>
      </c>
      <c r="L54" s="54" t="s">
        <v>27</v>
      </c>
      <c r="N54" s="64" t="s">
        <v>22</v>
      </c>
    </row>
    <row r="55" spans="1:19" ht="15.5" x14ac:dyDescent="0.35">
      <c r="A55" s="2"/>
      <c r="B55" s="2"/>
      <c r="C55" s="2"/>
      <c r="D55" s="84"/>
      <c r="E55" s="66"/>
      <c r="F55" s="2"/>
      <c r="G55" s="67"/>
      <c r="H55" s="68" t="s">
        <v>112</v>
      </c>
      <c r="J55" s="95"/>
      <c r="K55" s="67" t="s">
        <v>279</v>
      </c>
      <c r="L55" s="54" t="s">
        <v>27</v>
      </c>
      <c r="N55" s="64" t="s">
        <v>22</v>
      </c>
    </row>
    <row r="56" spans="1:19" ht="15.5" x14ac:dyDescent="0.35">
      <c r="A56" s="2"/>
      <c r="B56" s="2"/>
      <c r="C56" s="2"/>
      <c r="D56" s="84"/>
      <c r="E56" s="66"/>
      <c r="F56" s="2"/>
      <c r="G56" s="67"/>
      <c r="H56" s="68" t="s">
        <v>113</v>
      </c>
      <c r="J56" s="95"/>
      <c r="K56" s="67" t="s">
        <v>280</v>
      </c>
      <c r="L56" s="54" t="s">
        <v>27</v>
      </c>
      <c r="N56" s="64" t="s">
        <v>22</v>
      </c>
    </row>
    <row r="57" spans="1:19" ht="15.5" x14ac:dyDescent="0.35">
      <c r="A57" s="2"/>
      <c r="B57" s="2"/>
      <c r="C57" s="2"/>
      <c r="D57" s="84"/>
      <c r="E57" s="66"/>
      <c r="F57" s="2"/>
      <c r="G57" s="67"/>
      <c r="H57" s="68" t="s">
        <v>114</v>
      </c>
      <c r="J57" s="95"/>
      <c r="K57" s="67" t="s">
        <v>281</v>
      </c>
      <c r="L57" s="54" t="s">
        <v>27</v>
      </c>
      <c r="N57" s="64" t="s">
        <v>22</v>
      </c>
    </row>
    <row r="58" spans="1:19" ht="15.5" x14ac:dyDescent="0.35">
      <c r="A58" s="2"/>
      <c r="B58" s="2"/>
      <c r="C58" s="2"/>
      <c r="D58" s="84"/>
      <c r="E58" s="66"/>
      <c r="F58" s="2"/>
      <c r="G58" s="67"/>
      <c r="H58" s="68" t="s">
        <v>115</v>
      </c>
      <c r="J58" s="95"/>
      <c r="K58" s="67" t="s">
        <v>283</v>
      </c>
      <c r="L58" s="54" t="s">
        <v>27</v>
      </c>
      <c r="N58" s="64" t="s">
        <v>22</v>
      </c>
    </row>
    <row r="59" spans="1:19" ht="15.5" x14ac:dyDescent="0.35">
      <c r="A59" s="2"/>
      <c r="B59" s="2"/>
      <c r="C59" s="2"/>
      <c r="D59" s="84"/>
      <c r="E59" s="66"/>
      <c r="F59" s="2"/>
      <c r="G59" s="67"/>
      <c r="H59" s="68" t="s">
        <v>116</v>
      </c>
      <c r="J59" s="95"/>
      <c r="K59" s="67" t="s">
        <v>284</v>
      </c>
      <c r="L59" s="54" t="s">
        <v>27</v>
      </c>
      <c r="N59" s="64" t="s">
        <v>22</v>
      </c>
    </row>
    <row r="60" spans="1:19" ht="15.5" x14ac:dyDescent="0.35">
      <c r="A60" s="2"/>
      <c r="B60" s="2"/>
      <c r="C60" s="2"/>
      <c r="D60" s="84"/>
      <c r="E60" s="66"/>
      <c r="F60" s="2"/>
      <c r="G60" s="67"/>
      <c r="H60" s="68" t="s">
        <v>117</v>
      </c>
      <c r="J60" s="95"/>
      <c r="K60" s="67" t="s">
        <v>285</v>
      </c>
      <c r="L60" s="54" t="s">
        <v>27</v>
      </c>
      <c r="N60" s="64" t="s">
        <v>22</v>
      </c>
    </row>
    <row r="61" spans="1:19" ht="15.5" x14ac:dyDescent="0.35">
      <c r="A61" s="2"/>
      <c r="B61" s="2"/>
      <c r="C61" s="2"/>
      <c r="D61" s="84"/>
      <c r="E61" s="66"/>
      <c r="F61" s="2"/>
      <c r="G61" s="67"/>
      <c r="H61" s="68" t="s">
        <v>119</v>
      </c>
      <c r="J61" s="95"/>
      <c r="K61" s="53" t="s">
        <v>286</v>
      </c>
      <c r="L61" s="54" t="s">
        <v>27</v>
      </c>
      <c r="N61" s="64" t="s">
        <v>22</v>
      </c>
    </row>
    <row r="62" spans="1:19" x14ac:dyDescent="0.35">
      <c r="A62" s="2"/>
      <c r="B62" s="2"/>
      <c r="C62" s="2"/>
      <c r="D62" s="84"/>
      <c r="E62" s="66"/>
      <c r="F62" s="64"/>
      <c r="G62" s="67"/>
      <c r="H62" s="68" t="s">
        <v>120</v>
      </c>
      <c r="J62" s="81"/>
      <c r="K62" s="2" t="s">
        <v>263</v>
      </c>
      <c r="L62" s="72" t="s">
        <v>27</v>
      </c>
      <c r="N62" s="64" t="s">
        <v>22</v>
      </c>
      <c r="O62" s="243">
        <v>112031413628</v>
      </c>
      <c r="P62" s="103"/>
    </row>
    <row r="63" spans="1:19" x14ac:dyDescent="0.35">
      <c r="A63" s="2"/>
      <c r="B63" s="2"/>
      <c r="C63" s="2"/>
      <c r="D63" s="84"/>
      <c r="E63" s="66"/>
      <c r="F63" s="64"/>
      <c r="G63" s="67"/>
      <c r="H63" s="68" t="s">
        <v>121</v>
      </c>
      <c r="K63" s="2" t="s">
        <v>264</v>
      </c>
      <c r="L63" s="72" t="s">
        <v>27</v>
      </c>
      <c r="N63" s="64" t="s">
        <v>22</v>
      </c>
      <c r="O63" s="243">
        <v>112027981701</v>
      </c>
      <c r="P63" s="103"/>
    </row>
    <row r="64" spans="1:19" x14ac:dyDescent="0.35">
      <c r="A64" s="2"/>
      <c r="B64" s="2"/>
      <c r="C64" s="2"/>
      <c r="D64" s="84"/>
      <c r="E64" s="66"/>
      <c r="F64" s="64"/>
      <c r="G64" s="67"/>
      <c r="H64" s="68" t="s">
        <v>123</v>
      </c>
      <c r="K64" s="2" t="s">
        <v>270</v>
      </c>
      <c r="L64" s="72" t="s">
        <v>27</v>
      </c>
      <c r="N64" s="64" t="s">
        <v>22</v>
      </c>
      <c r="O64" s="243">
        <v>112028002003</v>
      </c>
      <c r="P64" s="103"/>
    </row>
    <row r="65" spans="1:19" x14ac:dyDescent="0.35">
      <c r="A65" s="2"/>
      <c r="B65" s="2"/>
      <c r="C65" s="2"/>
      <c r="D65" s="84"/>
      <c r="E65" s="66"/>
      <c r="F65" s="64"/>
      <c r="G65" s="67"/>
      <c r="H65" s="68" t="s">
        <v>124</v>
      </c>
      <c r="K65" s="2" t="s">
        <v>288</v>
      </c>
      <c r="L65" s="72" t="s">
        <v>27</v>
      </c>
      <c r="N65" s="64" t="s">
        <v>22</v>
      </c>
      <c r="O65" s="243"/>
      <c r="P65" s="103"/>
    </row>
    <row r="66" spans="1:19" x14ac:dyDescent="0.35">
      <c r="A66" s="2"/>
      <c r="B66" s="2"/>
      <c r="C66" s="2"/>
      <c r="D66" s="84"/>
      <c r="E66" s="66"/>
      <c r="F66" s="64"/>
      <c r="G66" s="67"/>
      <c r="H66" s="68" t="s">
        <v>125</v>
      </c>
      <c r="K66" s="121" t="s">
        <v>289</v>
      </c>
      <c r="L66" s="72" t="s">
        <v>27</v>
      </c>
      <c r="N66" s="64" t="s">
        <v>22</v>
      </c>
      <c r="O66" s="243"/>
      <c r="P66" s="103"/>
    </row>
    <row r="67" spans="1:19" x14ac:dyDescent="0.35">
      <c r="A67" s="2"/>
      <c r="B67" s="2"/>
      <c r="C67" s="2"/>
      <c r="D67" s="84"/>
      <c r="E67" s="66"/>
      <c r="F67" s="64"/>
      <c r="G67" s="67"/>
      <c r="H67" s="68" t="s">
        <v>126</v>
      </c>
      <c r="K67" s="3" t="s">
        <v>292</v>
      </c>
      <c r="L67" s="72" t="s">
        <v>27</v>
      </c>
      <c r="N67" s="64" t="s">
        <v>22</v>
      </c>
      <c r="O67" s="243"/>
      <c r="P67" s="103"/>
    </row>
    <row r="68" spans="1:19" s="233" customFormat="1" x14ac:dyDescent="0.35">
      <c r="A68" s="173"/>
      <c r="B68" s="173"/>
      <c r="C68" s="173"/>
      <c r="D68" s="173"/>
      <c r="E68" s="173"/>
      <c r="F68" s="229" t="s">
        <v>250</v>
      </c>
      <c r="G68" s="173"/>
      <c r="H68" s="230"/>
      <c r="I68" s="173"/>
      <c r="J68" s="170"/>
      <c r="K68" s="171" t="s">
        <v>644</v>
      </c>
      <c r="L68" s="231"/>
      <c r="M68" s="173"/>
      <c r="N68" s="229"/>
      <c r="O68" s="242"/>
      <c r="P68" s="173"/>
      <c r="Q68" s="173"/>
      <c r="R68" s="173"/>
      <c r="S68" s="173"/>
    </row>
    <row r="69" spans="1:19" x14ac:dyDescent="0.35">
      <c r="A69" s="12" t="s">
        <v>408</v>
      </c>
      <c r="B69" s="11"/>
      <c r="C69" s="22" t="s">
        <v>306</v>
      </c>
      <c r="D69" s="23" t="s">
        <v>307</v>
      </c>
      <c r="E69" s="112"/>
      <c r="F69" s="64" t="s">
        <v>250</v>
      </c>
      <c r="G69" s="20"/>
      <c r="H69" s="68" t="s">
        <v>131</v>
      </c>
      <c r="I69" s="11"/>
      <c r="J69" s="121" t="s">
        <v>409</v>
      </c>
      <c r="K69" s="48" t="s">
        <v>410</v>
      </c>
      <c r="L69" s="13" t="s">
        <v>27</v>
      </c>
      <c r="M69" s="13"/>
      <c r="N69" s="99" t="s">
        <v>22</v>
      </c>
    </row>
    <row r="70" spans="1:19" x14ac:dyDescent="0.35">
      <c r="A70" s="126"/>
      <c r="B70" s="11"/>
      <c r="C70" s="22" t="s">
        <v>306</v>
      </c>
      <c r="D70" s="23" t="s">
        <v>307</v>
      </c>
      <c r="E70" s="112"/>
      <c r="F70" s="64" t="s">
        <v>250</v>
      </c>
      <c r="G70" s="20"/>
      <c r="H70" s="68" t="s">
        <v>132</v>
      </c>
      <c r="I70" s="11"/>
      <c r="J70" s="121"/>
      <c r="K70" s="3" t="s">
        <v>411</v>
      </c>
      <c r="L70" s="13" t="s">
        <v>27</v>
      </c>
      <c r="M70" s="13"/>
      <c r="N70" s="99" t="s">
        <v>77</v>
      </c>
    </row>
    <row r="71" spans="1:19" x14ac:dyDescent="0.35">
      <c r="A71" s="126"/>
      <c r="B71" s="11"/>
      <c r="C71" s="22" t="s">
        <v>306</v>
      </c>
      <c r="D71" s="23" t="s">
        <v>307</v>
      </c>
      <c r="E71" s="112"/>
      <c r="F71" s="64" t="s">
        <v>250</v>
      </c>
      <c r="G71" s="20"/>
      <c r="H71" s="68" t="s">
        <v>133</v>
      </c>
      <c r="I71" s="11"/>
      <c r="J71" s="121"/>
      <c r="K71" s="224" t="s">
        <v>412</v>
      </c>
      <c r="L71" s="143" t="s">
        <v>27</v>
      </c>
      <c r="M71" s="143"/>
      <c r="N71" s="99" t="s">
        <v>22</v>
      </c>
    </row>
    <row r="72" spans="1:19" ht="29" x14ac:dyDescent="0.35">
      <c r="A72" s="126"/>
      <c r="B72" s="11"/>
      <c r="C72" s="22" t="s">
        <v>306</v>
      </c>
      <c r="D72" s="23" t="s">
        <v>307</v>
      </c>
      <c r="E72" s="112"/>
      <c r="F72" s="64" t="s">
        <v>250</v>
      </c>
      <c r="G72" s="20"/>
      <c r="H72" s="68" t="s">
        <v>181</v>
      </c>
      <c r="I72" s="11"/>
      <c r="J72" s="121"/>
      <c r="K72" s="224" t="s">
        <v>413</v>
      </c>
      <c r="L72" s="143" t="s">
        <v>27</v>
      </c>
      <c r="M72" s="143"/>
      <c r="N72" s="99" t="s">
        <v>77</v>
      </c>
    </row>
    <row r="73" spans="1:19" x14ac:dyDescent="0.35">
      <c r="A73" s="126"/>
      <c r="B73" s="11"/>
      <c r="C73" s="22" t="s">
        <v>306</v>
      </c>
      <c r="D73" s="23" t="s">
        <v>307</v>
      </c>
      <c r="E73" s="112"/>
      <c r="F73" s="64" t="s">
        <v>250</v>
      </c>
      <c r="G73" s="20"/>
      <c r="H73" s="68" t="s">
        <v>184</v>
      </c>
      <c r="I73" s="11"/>
      <c r="J73" s="121"/>
      <c r="K73" s="3" t="s">
        <v>645</v>
      </c>
      <c r="L73" s="13" t="s">
        <v>27</v>
      </c>
      <c r="M73" s="13"/>
      <c r="N73" s="99" t="s">
        <v>22</v>
      </c>
    </row>
    <row r="74" spans="1:19" x14ac:dyDescent="0.35">
      <c r="A74" s="126"/>
      <c r="B74" s="11"/>
      <c r="C74" s="22" t="s">
        <v>306</v>
      </c>
      <c r="D74" s="23" t="s">
        <v>307</v>
      </c>
      <c r="E74" s="112"/>
      <c r="F74" s="64" t="s">
        <v>250</v>
      </c>
      <c r="G74" s="20"/>
      <c r="H74" s="68" t="s">
        <v>186</v>
      </c>
      <c r="I74" s="11"/>
      <c r="J74" s="121"/>
      <c r="K74" s="3" t="s">
        <v>415</v>
      </c>
      <c r="L74" s="13" t="s">
        <v>27</v>
      </c>
      <c r="M74" s="13"/>
      <c r="N74" s="99" t="s">
        <v>22</v>
      </c>
    </row>
    <row r="75" spans="1:19" x14ac:dyDescent="0.35">
      <c r="A75" s="126"/>
      <c r="B75" s="11"/>
      <c r="C75" s="22" t="s">
        <v>306</v>
      </c>
      <c r="D75" s="23" t="s">
        <v>307</v>
      </c>
      <c r="E75" s="112"/>
      <c r="F75" s="64" t="s">
        <v>250</v>
      </c>
      <c r="G75" s="20"/>
      <c r="H75" s="68" t="s">
        <v>188</v>
      </c>
      <c r="I75" s="11"/>
      <c r="J75" s="121"/>
      <c r="K75" s="225" t="s">
        <v>416</v>
      </c>
      <c r="L75" s="148" t="s">
        <v>27</v>
      </c>
      <c r="M75" s="148"/>
      <c r="N75" s="99" t="s">
        <v>22</v>
      </c>
    </row>
    <row r="76" spans="1:19" x14ac:dyDescent="0.35">
      <c r="A76" s="17"/>
      <c r="B76" s="11"/>
      <c r="C76" s="22" t="s">
        <v>306</v>
      </c>
      <c r="D76" s="23" t="s">
        <v>307</v>
      </c>
      <c r="E76" s="112"/>
      <c r="F76" s="64" t="s">
        <v>250</v>
      </c>
      <c r="G76" s="20"/>
      <c r="H76" s="68" t="s">
        <v>190</v>
      </c>
      <c r="I76" s="11"/>
      <c r="J76" s="121" t="s">
        <v>417</v>
      </c>
      <c r="K76" s="151" t="s">
        <v>418</v>
      </c>
      <c r="L76" s="143" t="s">
        <v>27</v>
      </c>
      <c r="M76" s="143"/>
      <c r="N76" s="99" t="s">
        <v>22</v>
      </c>
    </row>
    <row r="77" spans="1:19" x14ac:dyDescent="0.35">
      <c r="A77" s="17"/>
      <c r="B77" s="11"/>
      <c r="C77" s="22" t="s">
        <v>306</v>
      </c>
      <c r="D77" s="23" t="s">
        <v>307</v>
      </c>
      <c r="E77" s="112"/>
      <c r="F77" s="64" t="s">
        <v>250</v>
      </c>
      <c r="G77" s="20"/>
      <c r="H77" s="68" t="s">
        <v>192</v>
      </c>
      <c r="I77" s="11"/>
      <c r="J77" s="121"/>
      <c r="K77" s="151" t="s">
        <v>419</v>
      </c>
      <c r="L77" s="143" t="s">
        <v>27</v>
      </c>
      <c r="M77" s="143"/>
      <c r="N77" s="99" t="s">
        <v>22</v>
      </c>
    </row>
    <row r="78" spans="1:19" x14ac:dyDescent="0.35">
      <c r="A78" s="17"/>
      <c r="B78" s="11"/>
      <c r="C78" s="22" t="s">
        <v>306</v>
      </c>
      <c r="D78" s="23" t="s">
        <v>307</v>
      </c>
      <c r="E78" s="112"/>
      <c r="F78" s="64" t="s">
        <v>250</v>
      </c>
      <c r="G78" s="20"/>
      <c r="H78" s="68" t="s">
        <v>194</v>
      </c>
      <c r="I78" s="11"/>
      <c r="J78" s="121"/>
      <c r="K78" s="224" t="s">
        <v>420</v>
      </c>
      <c r="L78" s="143" t="s">
        <v>27</v>
      </c>
      <c r="M78" s="143"/>
      <c r="N78" s="99" t="s">
        <v>22</v>
      </c>
    </row>
    <row r="79" spans="1:19" x14ac:dyDescent="0.35">
      <c r="A79" s="17"/>
      <c r="B79" s="11"/>
      <c r="C79" s="22" t="s">
        <v>306</v>
      </c>
      <c r="D79" s="23" t="s">
        <v>307</v>
      </c>
      <c r="E79" s="112"/>
      <c r="F79" s="64" t="s">
        <v>250</v>
      </c>
      <c r="G79" s="20"/>
      <c r="H79" s="68" t="s">
        <v>196</v>
      </c>
      <c r="I79" s="11"/>
      <c r="J79" s="121"/>
      <c r="K79" s="3" t="s">
        <v>421</v>
      </c>
      <c r="L79" s="158" t="s">
        <v>27</v>
      </c>
      <c r="M79" s="158"/>
      <c r="N79" s="99" t="s">
        <v>22</v>
      </c>
    </row>
    <row r="80" spans="1:19" ht="29" x14ac:dyDescent="0.35">
      <c r="A80" s="17"/>
      <c r="B80" s="11"/>
      <c r="C80" s="22" t="s">
        <v>306</v>
      </c>
      <c r="D80" s="23" t="s">
        <v>307</v>
      </c>
      <c r="E80" s="112"/>
      <c r="F80" s="64" t="s">
        <v>250</v>
      </c>
      <c r="G80" s="20"/>
      <c r="H80" s="68" t="s">
        <v>199</v>
      </c>
      <c r="I80" s="11"/>
      <c r="J80" s="121"/>
      <c r="K80" s="224" t="s">
        <v>422</v>
      </c>
      <c r="L80" s="143" t="s">
        <v>27</v>
      </c>
      <c r="M80" s="143"/>
      <c r="N80" s="99" t="s">
        <v>22</v>
      </c>
    </row>
    <row r="81" spans="1:15" ht="29" x14ac:dyDescent="0.35">
      <c r="A81" s="255"/>
      <c r="B81" s="254"/>
      <c r="C81" s="253" t="s">
        <v>306</v>
      </c>
      <c r="D81" s="252" t="s">
        <v>307</v>
      </c>
      <c r="E81" s="251"/>
      <c r="F81" s="64" t="s">
        <v>250</v>
      </c>
      <c r="G81" s="250"/>
      <c r="H81" s="68" t="s">
        <v>201</v>
      </c>
      <c r="I81" s="254"/>
      <c r="J81" s="249"/>
      <c r="K81" s="224" t="s">
        <v>423</v>
      </c>
      <c r="L81" s="256" t="s">
        <v>27</v>
      </c>
      <c r="M81" s="256"/>
      <c r="N81" s="99" t="s">
        <v>77</v>
      </c>
    </row>
    <row r="82" spans="1:15" x14ac:dyDescent="0.35">
      <c r="A82" s="17"/>
      <c r="B82" s="11"/>
      <c r="C82" s="22" t="s">
        <v>306</v>
      </c>
      <c r="D82" s="23" t="s">
        <v>307</v>
      </c>
      <c r="E82" s="112"/>
      <c r="F82" s="64" t="s">
        <v>250</v>
      </c>
      <c r="G82" s="20"/>
      <c r="H82" s="68" t="s">
        <v>203</v>
      </c>
      <c r="I82" s="11"/>
      <c r="J82" s="121"/>
      <c r="K82" s="224" t="s">
        <v>424</v>
      </c>
      <c r="L82" s="143" t="s">
        <v>27</v>
      </c>
      <c r="M82" s="143"/>
      <c r="N82" s="99" t="s">
        <v>22</v>
      </c>
    </row>
    <row r="83" spans="1:15" x14ac:dyDescent="0.35">
      <c r="A83" s="17"/>
      <c r="B83" s="11"/>
      <c r="C83" s="22" t="s">
        <v>306</v>
      </c>
      <c r="D83" s="23" t="s">
        <v>307</v>
      </c>
      <c r="E83" s="112"/>
      <c r="F83" s="64" t="s">
        <v>250</v>
      </c>
      <c r="G83" s="20"/>
      <c r="H83" s="68" t="s">
        <v>205</v>
      </c>
      <c r="I83" s="11"/>
      <c r="J83" s="121"/>
      <c r="K83" s="3" t="s">
        <v>425</v>
      </c>
      <c r="L83" s="13" t="s">
        <v>27</v>
      </c>
      <c r="M83" s="13"/>
      <c r="N83" s="99" t="s">
        <v>77</v>
      </c>
    </row>
    <row r="84" spans="1:15" x14ac:dyDescent="0.35">
      <c r="A84" s="17"/>
      <c r="B84" s="11"/>
      <c r="C84" s="22" t="s">
        <v>306</v>
      </c>
      <c r="D84" s="23" t="s">
        <v>307</v>
      </c>
      <c r="E84" s="112"/>
      <c r="F84" s="64" t="s">
        <v>250</v>
      </c>
      <c r="G84" s="20"/>
      <c r="H84" s="68" t="s">
        <v>207</v>
      </c>
      <c r="I84" s="11"/>
      <c r="J84" s="121"/>
      <c r="K84" s="224" t="s">
        <v>426</v>
      </c>
      <c r="L84" s="143" t="s">
        <v>27</v>
      </c>
      <c r="M84" s="143"/>
      <c r="N84" s="99" t="s">
        <v>22</v>
      </c>
    </row>
    <row r="85" spans="1:15" x14ac:dyDescent="0.35">
      <c r="A85" s="17"/>
      <c r="B85" s="11"/>
      <c r="C85" s="22" t="s">
        <v>306</v>
      </c>
      <c r="D85" s="23" t="s">
        <v>307</v>
      </c>
      <c r="E85" s="112"/>
      <c r="F85" s="64" t="s">
        <v>250</v>
      </c>
      <c r="G85" s="20"/>
      <c r="H85" s="68" t="s">
        <v>215</v>
      </c>
      <c r="I85" s="11"/>
      <c r="J85" s="121" t="s">
        <v>429</v>
      </c>
      <c r="K85" s="121" t="s">
        <v>430</v>
      </c>
      <c r="L85" s="13" t="s">
        <v>27</v>
      </c>
      <c r="M85" s="13"/>
      <c r="N85" s="99" t="s">
        <v>22</v>
      </c>
    </row>
    <row r="86" spans="1:15" ht="29" x14ac:dyDescent="0.35">
      <c r="A86" s="17"/>
      <c r="B86" s="11"/>
      <c r="C86" s="22" t="s">
        <v>306</v>
      </c>
      <c r="D86" s="23" t="s">
        <v>307</v>
      </c>
      <c r="E86" s="112"/>
      <c r="F86" s="64" t="s">
        <v>250</v>
      </c>
      <c r="G86" s="20"/>
      <c r="H86" s="68" t="s">
        <v>218</v>
      </c>
      <c r="I86" s="11"/>
      <c r="J86" s="121"/>
      <c r="K86" s="3" t="s">
        <v>431</v>
      </c>
      <c r="L86" s="13" t="s">
        <v>27</v>
      </c>
      <c r="M86" s="13"/>
      <c r="N86" s="99" t="s">
        <v>22</v>
      </c>
    </row>
    <row r="87" spans="1:15" ht="29" x14ac:dyDescent="0.35">
      <c r="A87" s="17"/>
      <c r="B87" s="11"/>
      <c r="C87" s="22" t="s">
        <v>306</v>
      </c>
      <c r="D87" s="23" t="s">
        <v>307</v>
      </c>
      <c r="E87" s="112"/>
      <c r="F87" s="64" t="s">
        <v>250</v>
      </c>
      <c r="G87" s="20"/>
      <c r="H87" s="68" t="s">
        <v>220</v>
      </c>
      <c r="I87" s="11"/>
      <c r="J87" s="121"/>
      <c r="K87" s="3" t="s">
        <v>432</v>
      </c>
      <c r="L87" s="13" t="s">
        <v>27</v>
      </c>
      <c r="M87" s="13"/>
      <c r="N87" s="99" t="s">
        <v>22</v>
      </c>
    </row>
    <row r="88" spans="1:15" x14ac:dyDescent="0.35">
      <c r="A88" s="17"/>
      <c r="B88" s="11"/>
      <c r="C88" s="22" t="s">
        <v>306</v>
      </c>
      <c r="D88" s="23" t="s">
        <v>307</v>
      </c>
      <c r="E88" s="112"/>
      <c r="F88" s="64" t="s">
        <v>250</v>
      </c>
      <c r="G88" s="20"/>
      <c r="H88" s="68" t="s">
        <v>222</v>
      </c>
      <c r="I88" s="11"/>
      <c r="J88" s="121"/>
      <c r="K88" s="3" t="s">
        <v>433</v>
      </c>
      <c r="L88" s="13" t="s">
        <v>27</v>
      </c>
      <c r="M88" s="13"/>
      <c r="N88" s="99" t="s">
        <v>22</v>
      </c>
    </row>
    <row r="89" spans="1:15" ht="29" x14ac:dyDescent="0.35">
      <c r="A89" s="17"/>
      <c r="B89" s="11"/>
      <c r="C89" s="22" t="s">
        <v>306</v>
      </c>
      <c r="D89" s="23" t="s">
        <v>307</v>
      </c>
      <c r="E89" s="112"/>
      <c r="F89" s="64" t="s">
        <v>250</v>
      </c>
      <c r="G89" s="20"/>
      <c r="H89" s="68" t="s">
        <v>224</v>
      </c>
      <c r="I89" s="11"/>
      <c r="J89" s="121"/>
      <c r="K89" s="3" t="s">
        <v>434</v>
      </c>
      <c r="L89" s="13" t="s">
        <v>27</v>
      </c>
      <c r="M89" s="13"/>
      <c r="N89" s="99" t="s">
        <v>22</v>
      </c>
    </row>
    <row r="90" spans="1:15" x14ac:dyDescent="0.35">
      <c r="A90" s="17"/>
      <c r="B90" s="11"/>
      <c r="C90" s="22"/>
      <c r="D90" s="23"/>
      <c r="E90" s="112"/>
      <c r="F90" s="64" t="s">
        <v>250</v>
      </c>
      <c r="G90" s="20"/>
      <c r="H90" s="68" t="s">
        <v>232</v>
      </c>
      <c r="I90" s="11"/>
      <c r="J90" s="121"/>
      <c r="K90" s="225" t="s">
        <v>438</v>
      </c>
      <c r="L90" s="148" t="s">
        <v>27</v>
      </c>
      <c r="M90" s="148"/>
      <c r="N90" s="99" t="s">
        <v>22</v>
      </c>
    </row>
    <row r="91" spans="1:15" ht="29" x14ac:dyDescent="0.35">
      <c r="A91" s="255"/>
      <c r="B91" s="254"/>
      <c r="C91" s="253" t="s">
        <v>306</v>
      </c>
      <c r="D91" s="252" t="s">
        <v>307</v>
      </c>
      <c r="E91" s="251"/>
      <c r="F91" s="64" t="s">
        <v>250</v>
      </c>
      <c r="G91" s="250"/>
      <c r="H91" s="68" t="s">
        <v>233</v>
      </c>
      <c r="I91" s="254"/>
      <c r="J91" s="249"/>
      <c r="K91" s="226" t="s">
        <v>439</v>
      </c>
      <c r="L91" s="248" t="s">
        <v>27</v>
      </c>
      <c r="M91" s="248"/>
      <c r="N91" s="99" t="s">
        <v>22</v>
      </c>
    </row>
    <row r="92" spans="1:15" x14ac:dyDescent="0.35">
      <c r="A92" s="17"/>
      <c r="B92" s="11"/>
      <c r="C92" s="22" t="s">
        <v>306</v>
      </c>
      <c r="D92" s="23" t="s">
        <v>307</v>
      </c>
      <c r="E92" s="112"/>
      <c r="F92" s="64" t="s">
        <v>250</v>
      </c>
      <c r="G92" s="20"/>
      <c r="H92" s="68" t="s">
        <v>449</v>
      </c>
      <c r="I92" s="11"/>
      <c r="J92" s="121" t="s">
        <v>440</v>
      </c>
      <c r="K92" s="121" t="s">
        <v>441</v>
      </c>
      <c r="L92" s="13" t="s">
        <v>27</v>
      </c>
      <c r="M92" s="13"/>
      <c r="N92" s="99" t="s">
        <v>22</v>
      </c>
      <c r="O92" s="241" t="s">
        <v>795</v>
      </c>
    </row>
    <row r="93" spans="1:15" x14ac:dyDescent="0.35">
      <c r="A93" s="17"/>
      <c r="B93" s="11"/>
      <c r="C93" s="22" t="s">
        <v>306</v>
      </c>
      <c r="D93" s="23" t="s">
        <v>307</v>
      </c>
      <c r="E93" s="112"/>
      <c r="F93" s="64" t="s">
        <v>250</v>
      </c>
      <c r="G93" s="20"/>
      <c r="H93" s="68" t="s">
        <v>451</v>
      </c>
      <c r="I93" s="11"/>
      <c r="J93" s="121"/>
      <c r="K93" s="121" t="s">
        <v>442</v>
      </c>
      <c r="L93" s="13" t="s">
        <v>27</v>
      </c>
      <c r="M93" s="13"/>
      <c r="N93" s="99" t="s">
        <v>22</v>
      </c>
    </row>
    <row r="94" spans="1:15" ht="29" x14ac:dyDescent="0.35">
      <c r="A94" s="17"/>
      <c r="B94" s="11"/>
      <c r="C94" s="22" t="s">
        <v>306</v>
      </c>
      <c r="D94" s="23" t="s">
        <v>307</v>
      </c>
      <c r="E94" s="112"/>
      <c r="F94" s="64" t="s">
        <v>250</v>
      </c>
      <c r="G94" s="20"/>
      <c r="H94" s="68" t="s">
        <v>453</v>
      </c>
      <c r="I94" s="11"/>
      <c r="J94" s="121"/>
      <c r="K94" s="121" t="s">
        <v>443</v>
      </c>
      <c r="L94" s="13" t="s">
        <v>27</v>
      </c>
      <c r="M94" s="13"/>
      <c r="N94" s="99" t="s">
        <v>22</v>
      </c>
    </row>
    <row r="95" spans="1:15" x14ac:dyDescent="0.35">
      <c r="A95" s="17"/>
      <c r="B95" s="11"/>
      <c r="C95" s="22" t="s">
        <v>306</v>
      </c>
      <c r="D95" s="23" t="s">
        <v>307</v>
      </c>
      <c r="E95" s="112"/>
      <c r="F95" s="64" t="s">
        <v>250</v>
      </c>
      <c r="G95" s="20"/>
      <c r="H95" s="68" t="s">
        <v>455</v>
      </c>
      <c r="I95" s="11"/>
      <c r="J95" s="121"/>
      <c r="K95" s="121" t="s">
        <v>444</v>
      </c>
      <c r="L95" s="13" t="s">
        <v>27</v>
      </c>
      <c r="M95" s="13"/>
      <c r="N95" s="99" t="s">
        <v>22</v>
      </c>
    </row>
    <row r="96" spans="1:15" x14ac:dyDescent="0.35">
      <c r="A96" s="17"/>
      <c r="B96" s="11"/>
      <c r="C96" s="22" t="s">
        <v>306</v>
      </c>
      <c r="D96" s="23" t="s">
        <v>307</v>
      </c>
      <c r="E96" s="112"/>
      <c r="F96" s="64" t="s">
        <v>250</v>
      </c>
      <c r="G96" s="20"/>
      <c r="H96" s="68" t="s">
        <v>646</v>
      </c>
      <c r="I96" s="11"/>
      <c r="J96" s="121"/>
      <c r="K96" s="3" t="s">
        <v>446</v>
      </c>
      <c r="L96" s="13" t="s">
        <v>27</v>
      </c>
      <c r="M96" s="13"/>
      <c r="N96" s="99" t="s">
        <v>22</v>
      </c>
    </row>
    <row r="97" spans="1:19" ht="29" x14ac:dyDescent="0.35">
      <c r="A97" s="17"/>
      <c r="B97" s="11"/>
      <c r="C97" s="22" t="s">
        <v>306</v>
      </c>
      <c r="D97" s="23" t="s">
        <v>307</v>
      </c>
      <c r="E97" s="112"/>
      <c r="F97" s="64" t="s">
        <v>250</v>
      </c>
      <c r="G97" s="20"/>
      <c r="H97" s="68" t="s">
        <v>647</v>
      </c>
      <c r="I97" s="11"/>
      <c r="J97" s="121"/>
      <c r="K97" s="3" t="s">
        <v>447</v>
      </c>
      <c r="L97" s="13" t="s">
        <v>27</v>
      </c>
      <c r="M97" s="13"/>
      <c r="N97" s="99" t="s">
        <v>22</v>
      </c>
    </row>
    <row r="98" spans="1:19" ht="29" x14ac:dyDescent="0.35">
      <c r="A98" s="17"/>
      <c r="B98" s="11"/>
      <c r="C98" s="22" t="s">
        <v>306</v>
      </c>
      <c r="D98" s="23" t="s">
        <v>307</v>
      </c>
      <c r="E98" s="112"/>
      <c r="F98" s="64" t="s">
        <v>250</v>
      </c>
      <c r="G98" s="20"/>
      <c r="H98" s="68" t="s">
        <v>648</v>
      </c>
      <c r="I98" s="11"/>
      <c r="J98" s="121"/>
      <c r="K98" s="3" t="s">
        <v>448</v>
      </c>
      <c r="L98" s="13" t="s">
        <v>27</v>
      </c>
      <c r="M98" s="13"/>
      <c r="N98" s="99" t="s">
        <v>77</v>
      </c>
    </row>
    <row r="99" spans="1:19" ht="43.5" x14ac:dyDescent="0.35">
      <c r="A99" s="17"/>
      <c r="B99" s="11"/>
      <c r="C99" s="22" t="s">
        <v>306</v>
      </c>
      <c r="D99" s="23" t="s">
        <v>307</v>
      </c>
      <c r="E99" s="112"/>
      <c r="F99" s="64" t="s">
        <v>250</v>
      </c>
      <c r="G99" s="20"/>
      <c r="H99" s="68" t="s">
        <v>649</v>
      </c>
      <c r="I99" s="11"/>
      <c r="J99" s="121"/>
      <c r="K99" s="3" t="s">
        <v>450</v>
      </c>
      <c r="L99" s="13" t="s">
        <v>27</v>
      </c>
      <c r="M99" s="13"/>
      <c r="N99" s="99" t="s">
        <v>22</v>
      </c>
    </row>
    <row r="100" spans="1:19" x14ac:dyDescent="0.35">
      <c r="A100" s="17"/>
      <c r="B100" s="11"/>
      <c r="C100" s="22" t="s">
        <v>306</v>
      </c>
      <c r="D100" s="23" t="s">
        <v>307</v>
      </c>
      <c r="E100" s="112"/>
      <c r="F100" s="64" t="s">
        <v>250</v>
      </c>
      <c r="G100" s="20"/>
      <c r="H100" s="68" t="s">
        <v>650</v>
      </c>
      <c r="I100" s="11"/>
      <c r="J100" s="121"/>
      <c r="K100" s="3" t="s">
        <v>452</v>
      </c>
      <c r="L100" s="13" t="s">
        <v>27</v>
      </c>
      <c r="M100" s="13"/>
      <c r="N100" s="99" t="s">
        <v>22</v>
      </c>
    </row>
    <row r="101" spans="1:19" x14ac:dyDescent="0.35">
      <c r="A101" s="17"/>
      <c r="B101" s="11"/>
      <c r="C101" s="22" t="s">
        <v>306</v>
      </c>
      <c r="D101" s="23" t="s">
        <v>307</v>
      </c>
      <c r="E101" s="112"/>
      <c r="F101" s="64" t="s">
        <v>250</v>
      </c>
      <c r="G101" s="20"/>
      <c r="H101" s="68" t="s">
        <v>651</v>
      </c>
      <c r="I101" s="11"/>
      <c r="J101" s="121"/>
      <c r="K101" s="3" t="s">
        <v>454</v>
      </c>
      <c r="L101" s="13" t="s">
        <v>27</v>
      </c>
      <c r="M101" s="13"/>
      <c r="N101" s="99" t="s">
        <v>22</v>
      </c>
    </row>
    <row r="102" spans="1:19" x14ac:dyDescent="0.35">
      <c r="A102" s="17"/>
      <c r="B102" s="11"/>
      <c r="C102" s="22" t="s">
        <v>306</v>
      </c>
      <c r="D102" s="23" t="s">
        <v>307</v>
      </c>
      <c r="E102" s="112"/>
      <c r="F102" s="64" t="s">
        <v>250</v>
      </c>
      <c r="G102" s="20"/>
      <c r="H102" s="68" t="s">
        <v>652</v>
      </c>
      <c r="I102" s="11"/>
      <c r="J102" s="121"/>
      <c r="K102" s="227" t="s">
        <v>456</v>
      </c>
      <c r="L102" s="13" t="s">
        <v>27</v>
      </c>
      <c r="M102" s="13"/>
      <c r="N102" s="99" t="s">
        <v>22</v>
      </c>
    </row>
    <row r="103" spans="1:19" x14ac:dyDescent="0.35">
      <c r="A103" s="2"/>
      <c r="B103" s="2"/>
      <c r="C103" s="22" t="s">
        <v>306</v>
      </c>
      <c r="D103" s="23" t="s">
        <v>307</v>
      </c>
      <c r="E103" s="2"/>
      <c r="F103" s="64" t="s">
        <v>250</v>
      </c>
      <c r="G103" s="2"/>
      <c r="H103" s="68" t="s">
        <v>653</v>
      </c>
      <c r="J103" s="3"/>
      <c r="K103" s="121"/>
      <c r="L103" s="19"/>
      <c r="N103" s="99" t="s">
        <v>22</v>
      </c>
    </row>
    <row r="104" spans="1:19" x14ac:dyDescent="0.35">
      <c r="A104" s="2"/>
      <c r="B104" s="2"/>
      <c r="C104" s="22" t="s">
        <v>306</v>
      </c>
      <c r="D104" s="23" t="s">
        <v>307</v>
      </c>
      <c r="E104" s="2"/>
      <c r="F104" s="64" t="s">
        <v>250</v>
      </c>
      <c r="G104" s="2"/>
      <c r="H104" s="68" t="s">
        <v>654</v>
      </c>
      <c r="J104" s="3"/>
      <c r="K104" s="121" t="s">
        <v>655</v>
      </c>
      <c r="L104" s="19" t="s">
        <v>27</v>
      </c>
      <c r="N104" s="99" t="s">
        <v>22</v>
      </c>
    </row>
    <row r="105" spans="1:19" x14ac:dyDescent="0.35">
      <c r="A105" s="2"/>
      <c r="B105" s="2"/>
      <c r="C105" s="22" t="s">
        <v>306</v>
      </c>
      <c r="D105" s="23" t="s">
        <v>307</v>
      </c>
      <c r="E105" s="2"/>
      <c r="F105" s="64" t="s">
        <v>250</v>
      </c>
      <c r="G105" s="2"/>
      <c r="H105" s="68" t="s">
        <v>656</v>
      </c>
      <c r="J105" s="3"/>
      <c r="K105" s="121" t="s">
        <v>657</v>
      </c>
      <c r="L105" s="19" t="s">
        <v>27</v>
      </c>
      <c r="N105" s="99" t="s">
        <v>77</v>
      </c>
    </row>
    <row r="106" spans="1:19" s="233" customFormat="1" x14ac:dyDescent="0.35">
      <c r="A106" s="173"/>
      <c r="B106" s="173"/>
      <c r="C106" s="235" t="s">
        <v>306</v>
      </c>
      <c r="D106" s="235" t="s">
        <v>307</v>
      </c>
      <c r="E106" s="173"/>
      <c r="F106" s="229" t="s">
        <v>250</v>
      </c>
      <c r="G106" s="173"/>
      <c r="H106" s="173"/>
      <c r="I106" s="236"/>
      <c r="J106" s="173"/>
      <c r="K106" s="171" t="s">
        <v>658</v>
      </c>
      <c r="L106" s="173"/>
      <c r="M106" s="173"/>
      <c r="N106" s="229"/>
      <c r="O106" s="242"/>
      <c r="P106" s="173"/>
      <c r="Q106" s="173"/>
      <c r="R106" s="173"/>
      <c r="S106" s="173"/>
    </row>
    <row r="107" spans="1:19" ht="29" x14ac:dyDescent="0.35">
      <c r="A107" s="2"/>
      <c r="B107" s="2"/>
      <c r="C107" s="22" t="s">
        <v>306</v>
      </c>
      <c r="D107" s="23" t="s">
        <v>307</v>
      </c>
      <c r="E107" s="2"/>
      <c r="F107" s="64" t="s">
        <v>250</v>
      </c>
      <c r="G107" s="2"/>
      <c r="H107" s="68" t="s">
        <v>659</v>
      </c>
      <c r="J107" s="139" t="s">
        <v>660</v>
      </c>
      <c r="K107" s="139" t="s">
        <v>661</v>
      </c>
      <c r="L107" s="19" t="s">
        <v>27</v>
      </c>
      <c r="N107" s="99" t="s">
        <v>22</v>
      </c>
    </row>
    <row r="108" spans="1:19" x14ac:dyDescent="0.35">
      <c r="A108" s="2"/>
      <c r="B108" s="2"/>
      <c r="C108" s="22" t="s">
        <v>306</v>
      </c>
      <c r="D108" s="23" t="s">
        <v>307</v>
      </c>
      <c r="E108" s="2"/>
      <c r="F108" s="64" t="s">
        <v>250</v>
      </c>
      <c r="G108" s="2"/>
      <c r="H108" s="68" t="s">
        <v>662</v>
      </c>
      <c r="J108" s="139" t="s">
        <v>663</v>
      </c>
      <c r="K108" s="139" t="s">
        <v>664</v>
      </c>
      <c r="L108" s="19" t="s">
        <v>27</v>
      </c>
      <c r="N108" s="99" t="s">
        <v>22</v>
      </c>
    </row>
    <row r="109" spans="1:19" ht="29" x14ac:dyDescent="0.35">
      <c r="A109" s="2"/>
      <c r="B109" s="2"/>
      <c r="C109" s="22" t="s">
        <v>306</v>
      </c>
      <c r="D109" s="23" t="s">
        <v>307</v>
      </c>
      <c r="E109" s="2"/>
      <c r="F109" s="64" t="s">
        <v>250</v>
      </c>
      <c r="G109" s="2"/>
      <c r="H109" s="68" t="s">
        <v>665</v>
      </c>
      <c r="J109" s="139" t="s">
        <v>666</v>
      </c>
      <c r="K109" s="139" t="s">
        <v>667</v>
      </c>
      <c r="L109" s="19" t="s">
        <v>27</v>
      </c>
      <c r="N109" s="99" t="s">
        <v>22</v>
      </c>
    </row>
    <row r="110" spans="1:19" s="233" customFormat="1" x14ac:dyDescent="0.35">
      <c r="A110" s="173"/>
      <c r="B110" s="173"/>
      <c r="C110" s="235" t="s">
        <v>306</v>
      </c>
      <c r="D110" s="235" t="s">
        <v>307</v>
      </c>
      <c r="E110" s="173"/>
      <c r="F110" s="229" t="s">
        <v>250</v>
      </c>
      <c r="G110" s="173"/>
      <c r="H110" s="230"/>
      <c r="I110" s="173"/>
      <c r="J110" s="173"/>
      <c r="K110" s="171" t="s">
        <v>668</v>
      </c>
      <c r="L110" s="231"/>
      <c r="M110" s="173"/>
      <c r="N110" s="229"/>
      <c r="O110" s="242"/>
      <c r="P110" s="173"/>
      <c r="Q110" s="173"/>
      <c r="R110" s="173"/>
      <c r="S110" s="173"/>
    </row>
    <row r="111" spans="1:19" x14ac:dyDescent="0.35">
      <c r="A111" s="12" t="s">
        <v>305</v>
      </c>
      <c r="B111" s="11"/>
      <c r="C111" s="22" t="s">
        <v>306</v>
      </c>
      <c r="D111" s="23" t="s">
        <v>307</v>
      </c>
      <c r="E111" s="112"/>
      <c r="F111" s="112"/>
      <c r="G111" s="20"/>
      <c r="H111" s="68" t="s">
        <v>669</v>
      </c>
      <c r="I111" s="126"/>
      <c r="J111" s="267" t="s">
        <v>308</v>
      </c>
      <c r="K111" s="121" t="s">
        <v>309</v>
      </c>
      <c r="L111" s="25" t="s">
        <v>27</v>
      </c>
      <c r="N111" s="99" t="s">
        <v>22</v>
      </c>
    </row>
    <row r="112" spans="1:19" x14ac:dyDescent="0.35">
      <c r="A112" s="126"/>
      <c r="B112" s="11"/>
      <c r="C112" s="22" t="s">
        <v>306</v>
      </c>
      <c r="D112" s="23" t="s">
        <v>307</v>
      </c>
      <c r="E112" s="112"/>
      <c r="F112" s="112"/>
      <c r="G112" s="20"/>
      <c r="H112" s="68" t="s">
        <v>670</v>
      </c>
      <c r="I112" s="126"/>
      <c r="J112" s="268"/>
      <c r="K112" s="121" t="s">
        <v>310</v>
      </c>
      <c r="L112" s="25"/>
      <c r="N112" s="99" t="s">
        <v>22</v>
      </c>
    </row>
    <row r="113" spans="1:14" x14ac:dyDescent="0.35">
      <c r="A113" s="17"/>
      <c r="B113" s="11"/>
      <c r="C113" s="22" t="s">
        <v>306</v>
      </c>
      <c r="D113" s="23" t="s">
        <v>307</v>
      </c>
      <c r="E113" s="112"/>
      <c r="F113" s="112"/>
      <c r="G113" s="20"/>
      <c r="H113" s="68" t="s">
        <v>671</v>
      </c>
      <c r="I113" s="11"/>
      <c r="J113" s="268"/>
      <c r="K113" s="121" t="s">
        <v>312</v>
      </c>
      <c r="L113" s="25" t="s">
        <v>27</v>
      </c>
      <c r="N113" s="99" t="s">
        <v>22</v>
      </c>
    </row>
    <row r="114" spans="1:14" x14ac:dyDescent="0.35">
      <c r="A114" s="17"/>
      <c r="B114" s="11"/>
      <c r="C114" s="22" t="s">
        <v>306</v>
      </c>
      <c r="D114" s="23" t="s">
        <v>307</v>
      </c>
      <c r="E114" s="112"/>
      <c r="F114" s="112"/>
      <c r="G114" s="20"/>
      <c r="H114" s="68" t="s">
        <v>672</v>
      </c>
      <c r="I114" s="11"/>
      <c r="J114" s="268"/>
      <c r="K114" s="121" t="s">
        <v>313</v>
      </c>
      <c r="L114" s="25" t="s">
        <v>27</v>
      </c>
      <c r="N114" s="99" t="s">
        <v>22</v>
      </c>
    </row>
    <row r="115" spans="1:14" x14ac:dyDescent="0.35">
      <c r="A115" s="17"/>
      <c r="B115" s="11"/>
      <c r="C115" s="22" t="s">
        <v>306</v>
      </c>
      <c r="D115" s="23" t="s">
        <v>307</v>
      </c>
      <c r="E115" s="112"/>
      <c r="F115" s="112"/>
      <c r="G115" s="20"/>
      <c r="H115" s="68" t="s">
        <v>673</v>
      </c>
      <c r="I115" s="11"/>
      <c r="J115" s="269"/>
      <c r="K115" s="121" t="s">
        <v>314</v>
      </c>
      <c r="L115" s="25" t="s">
        <v>27</v>
      </c>
      <c r="N115" s="99" t="s">
        <v>22</v>
      </c>
    </row>
    <row r="116" spans="1:14" x14ac:dyDescent="0.35">
      <c r="A116" s="17"/>
      <c r="B116" s="11"/>
      <c r="C116" s="22" t="s">
        <v>306</v>
      </c>
      <c r="D116" s="23" t="s">
        <v>307</v>
      </c>
      <c r="E116" s="112"/>
      <c r="F116" s="112"/>
      <c r="G116" s="20"/>
      <c r="H116" s="68" t="s">
        <v>674</v>
      </c>
      <c r="I116" s="11"/>
      <c r="J116" s="127"/>
      <c r="K116" s="3" t="s">
        <v>315</v>
      </c>
      <c r="L116" s="25" t="s">
        <v>27</v>
      </c>
      <c r="N116" s="99" t="s">
        <v>22</v>
      </c>
    </row>
    <row r="117" spans="1:14" x14ac:dyDescent="0.35">
      <c r="A117" s="17"/>
      <c r="B117" s="11"/>
      <c r="C117" s="22" t="s">
        <v>306</v>
      </c>
      <c r="D117" s="23" t="s">
        <v>307</v>
      </c>
      <c r="E117" s="112"/>
      <c r="F117" s="112"/>
      <c r="G117" s="20"/>
      <c r="H117" s="68" t="s">
        <v>675</v>
      </c>
      <c r="I117" s="11"/>
      <c r="J117" s="127"/>
      <c r="K117" s="3" t="s">
        <v>316</v>
      </c>
      <c r="L117" s="25" t="s">
        <v>27</v>
      </c>
      <c r="N117" s="99" t="s">
        <v>22</v>
      </c>
    </row>
    <row r="118" spans="1:14" x14ac:dyDescent="0.35">
      <c r="A118" s="17"/>
      <c r="B118" s="11"/>
      <c r="C118" s="22" t="s">
        <v>306</v>
      </c>
      <c r="D118" s="23" t="s">
        <v>307</v>
      </c>
      <c r="E118" s="112"/>
      <c r="F118" s="112"/>
      <c r="G118" s="20"/>
      <c r="H118" s="68" t="s">
        <v>676</v>
      </c>
      <c r="I118" s="11"/>
      <c r="J118" s="127"/>
      <c r="K118" s="3" t="s">
        <v>317</v>
      </c>
      <c r="L118" s="25" t="s">
        <v>27</v>
      </c>
      <c r="N118" s="99" t="s">
        <v>22</v>
      </c>
    </row>
    <row r="119" spans="1:14" ht="29" x14ac:dyDescent="0.35">
      <c r="A119" s="17"/>
      <c r="B119" s="11"/>
      <c r="C119" s="22" t="s">
        <v>306</v>
      </c>
      <c r="D119" s="23" t="s">
        <v>307</v>
      </c>
      <c r="E119" s="112"/>
      <c r="F119" s="112"/>
      <c r="G119" s="20"/>
      <c r="H119" s="68" t="s">
        <v>677</v>
      </c>
      <c r="I119" s="11"/>
      <c r="J119" s="127"/>
      <c r="K119" s="3" t="s">
        <v>319</v>
      </c>
      <c r="L119" s="25" t="s">
        <v>27</v>
      </c>
      <c r="N119" s="99" t="s">
        <v>22</v>
      </c>
    </row>
    <row r="120" spans="1:14" x14ac:dyDescent="0.35">
      <c r="A120" s="17"/>
      <c r="B120" s="11"/>
      <c r="C120" s="22" t="s">
        <v>306</v>
      </c>
      <c r="D120" s="23" t="s">
        <v>307</v>
      </c>
      <c r="E120" s="112"/>
      <c r="F120" s="112"/>
      <c r="G120" s="20"/>
      <c r="H120" s="68" t="s">
        <v>678</v>
      </c>
      <c r="I120" s="11"/>
      <c r="J120" s="127"/>
      <c r="K120" s="3" t="s">
        <v>320</v>
      </c>
      <c r="L120" s="25" t="s">
        <v>27</v>
      </c>
      <c r="N120" s="99" t="s">
        <v>22</v>
      </c>
    </row>
    <row r="121" spans="1:14" x14ac:dyDescent="0.35">
      <c r="A121" s="17"/>
      <c r="B121" s="11"/>
      <c r="C121" s="22" t="s">
        <v>306</v>
      </c>
      <c r="D121" s="23" t="s">
        <v>307</v>
      </c>
      <c r="E121" s="112"/>
      <c r="F121" s="112"/>
      <c r="G121" s="20"/>
      <c r="H121" s="68" t="s">
        <v>679</v>
      </c>
      <c r="I121" s="11"/>
      <c r="J121" s="127"/>
      <c r="K121" s="3" t="s">
        <v>322</v>
      </c>
      <c r="L121" s="25" t="s">
        <v>27</v>
      </c>
      <c r="N121" s="99" t="s">
        <v>22</v>
      </c>
    </row>
    <row r="122" spans="1:14" ht="29" x14ac:dyDescent="0.35">
      <c r="A122" s="17"/>
      <c r="B122" s="11"/>
      <c r="C122" s="22" t="s">
        <v>306</v>
      </c>
      <c r="D122" s="23" t="s">
        <v>307</v>
      </c>
      <c r="E122" s="112"/>
      <c r="F122" s="112"/>
      <c r="G122" s="20"/>
      <c r="H122" s="68" t="s">
        <v>680</v>
      </c>
      <c r="I122" s="11"/>
      <c r="J122" s="131" t="s">
        <v>323</v>
      </c>
      <c r="K122" s="3" t="s">
        <v>324</v>
      </c>
      <c r="L122" s="25" t="s">
        <v>27</v>
      </c>
      <c r="N122" s="99" t="s">
        <v>77</v>
      </c>
    </row>
    <row r="123" spans="1:14" ht="29" x14ac:dyDescent="0.35">
      <c r="A123" s="17"/>
      <c r="B123" s="11"/>
      <c r="C123" s="22" t="s">
        <v>306</v>
      </c>
      <c r="D123" s="23" t="s">
        <v>307</v>
      </c>
      <c r="E123" s="112"/>
      <c r="F123" s="112"/>
      <c r="G123" s="20"/>
      <c r="H123" s="68" t="s">
        <v>681</v>
      </c>
      <c r="I123" s="11"/>
      <c r="J123" s="132" t="s">
        <v>325</v>
      </c>
      <c r="K123" s="3" t="s">
        <v>326</v>
      </c>
      <c r="L123" s="25" t="s">
        <v>27</v>
      </c>
      <c r="N123" s="99" t="s">
        <v>22</v>
      </c>
    </row>
    <row r="124" spans="1:14" x14ac:dyDescent="0.35">
      <c r="A124" s="17"/>
      <c r="B124" s="11"/>
      <c r="C124" s="22" t="s">
        <v>306</v>
      </c>
      <c r="D124" s="23" t="s">
        <v>307</v>
      </c>
      <c r="E124" s="112"/>
      <c r="F124" s="112"/>
      <c r="G124" s="20"/>
      <c r="H124" s="68" t="s">
        <v>682</v>
      </c>
      <c r="I124" s="11"/>
      <c r="J124" s="131" t="s">
        <v>327</v>
      </c>
      <c r="K124" s="3" t="s">
        <v>328</v>
      </c>
      <c r="L124" s="25" t="s">
        <v>27</v>
      </c>
      <c r="N124" s="99" t="s">
        <v>22</v>
      </c>
    </row>
    <row r="125" spans="1:14" x14ac:dyDescent="0.35">
      <c r="A125" s="17"/>
      <c r="B125" s="11"/>
      <c r="C125" s="22" t="s">
        <v>306</v>
      </c>
      <c r="D125" s="23" t="s">
        <v>307</v>
      </c>
      <c r="E125" s="112"/>
      <c r="F125" s="112"/>
      <c r="G125" s="20"/>
      <c r="H125" s="68" t="s">
        <v>683</v>
      </c>
      <c r="I125" s="11"/>
      <c r="J125" s="270" t="s">
        <v>329</v>
      </c>
      <c r="K125" s="3" t="s">
        <v>330</v>
      </c>
      <c r="L125" s="25" t="s">
        <v>27</v>
      </c>
      <c r="N125" s="99" t="s">
        <v>22</v>
      </c>
    </row>
    <row r="126" spans="1:14" ht="29" x14ac:dyDescent="0.35">
      <c r="A126" s="17"/>
      <c r="B126" s="11"/>
      <c r="C126" s="22" t="s">
        <v>306</v>
      </c>
      <c r="D126" s="23" t="s">
        <v>307</v>
      </c>
      <c r="E126" s="112"/>
      <c r="F126" s="112"/>
      <c r="G126" s="20"/>
      <c r="H126" s="68" t="s">
        <v>684</v>
      </c>
      <c r="I126" s="11"/>
      <c r="J126" s="271"/>
      <c r="K126" s="3" t="s">
        <v>332</v>
      </c>
      <c r="L126" s="25" t="s">
        <v>27</v>
      </c>
      <c r="N126" s="99" t="s">
        <v>22</v>
      </c>
    </row>
    <row r="127" spans="1:14" ht="29" x14ac:dyDescent="0.35">
      <c r="A127" s="17"/>
      <c r="B127" s="11"/>
      <c r="C127" s="22" t="s">
        <v>306</v>
      </c>
      <c r="D127" s="23" t="s">
        <v>307</v>
      </c>
      <c r="E127" s="112"/>
      <c r="F127" s="112"/>
      <c r="G127" s="20"/>
      <c r="H127" s="68" t="s">
        <v>685</v>
      </c>
      <c r="I127" s="11"/>
      <c r="J127" s="272"/>
      <c r="K127" s="3" t="s">
        <v>333</v>
      </c>
      <c r="L127" s="25" t="s">
        <v>27</v>
      </c>
      <c r="N127" s="99" t="s">
        <v>22</v>
      </c>
    </row>
    <row r="128" spans="1:14" ht="29" x14ac:dyDescent="0.35">
      <c r="A128" s="17"/>
      <c r="B128" s="11"/>
      <c r="C128" s="22" t="s">
        <v>306</v>
      </c>
      <c r="D128" s="23" t="s">
        <v>307</v>
      </c>
      <c r="E128" s="112"/>
      <c r="F128" s="112"/>
      <c r="G128" s="20"/>
      <c r="H128" s="68" t="s">
        <v>686</v>
      </c>
      <c r="I128" s="11"/>
      <c r="J128" s="131" t="s">
        <v>334</v>
      </c>
      <c r="K128" s="3" t="s">
        <v>335</v>
      </c>
      <c r="L128" s="25" t="s">
        <v>27</v>
      </c>
      <c r="N128" s="99" t="s">
        <v>22</v>
      </c>
    </row>
    <row r="129" spans="1:19" x14ac:dyDescent="0.35">
      <c r="A129" s="17"/>
      <c r="B129" s="11"/>
      <c r="C129" s="22" t="s">
        <v>306</v>
      </c>
      <c r="D129" s="23" t="s">
        <v>307</v>
      </c>
      <c r="E129" s="112"/>
      <c r="F129" s="112"/>
      <c r="G129" s="20"/>
      <c r="H129" s="68" t="s">
        <v>687</v>
      </c>
      <c r="I129" s="11"/>
      <c r="J129" s="132" t="s">
        <v>336</v>
      </c>
      <c r="K129" s="3" t="s">
        <v>337</v>
      </c>
      <c r="L129" s="25" t="s">
        <v>27</v>
      </c>
      <c r="N129" s="99" t="s">
        <v>22</v>
      </c>
    </row>
    <row r="130" spans="1:19" x14ac:dyDescent="0.35">
      <c r="A130" s="17"/>
      <c r="B130" s="11"/>
      <c r="C130" s="22" t="s">
        <v>306</v>
      </c>
      <c r="D130" s="23" t="s">
        <v>307</v>
      </c>
      <c r="E130" s="112"/>
      <c r="F130" s="112"/>
      <c r="G130" s="20"/>
      <c r="H130" s="68" t="s">
        <v>688</v>
      </c>
      <c r="I130" s="11"/>
      <c r="J130" s="131" t="s">
        <v>338</v>
      </c>
      <c r="K130" s="3" t="s">
        <v>689</v>
      </c>
      <c r="L130" s="25" t="s">
        <v>27</v>
      </c>
      <c r="N130" s="99" t="s">
        <v>343</v>
      </c>
    </row>
    <row r="131" spans="1:19" x14ac:dyDescent="0.35">
      <c r="A131" s="17"/>
      <c r="B131" s="11"/>
      <c r="C131" s="22" t="s">
        <v>306</v>
      </c>
      <c r="D131" s="23" t="s">
        <v>307</v>
      </c>
      <c r="E131" s="112"/>
      <c r="F131" s="112"/>
      <c r="G131" s="20"/>
      <c r="H131" s="68" t="s">
        <v>690</v>
      </c>
      <c r="I131" s="11"/>
      <c r="J131" s="132" t="s">
        <v>340</v>
      </c>
      <c r="K131" s="3" t="s">
        <v>341</v>
      </c>
      <c r="L131" s="25" t="s">
        <v>27</v>
      </c>
      <c r="N131" s="99" t="s">
        <v>22</v>
      </c>
    </row>
    <row r="132" spans="1:19" s="233" customFormat="1" x14ac:dyDescent="0.35">
      <c r="A132" s="173"/>
      <c r="B132" s="173"/>
      <c r="C132" s="235" t="s">
        <v>306</v>
      </c>
      <c r="D132" s="235" t="s">
        <v>307</v>
      </c>
      <c r="E132" s="173"/>
      <c r="F132" s="229" t="s">
        <v>250</v>
      </c>
      <c r="G132" s="173"/>
      <c r="H132" s="230"/>
      <c r="I132" s="173"/>
      <c r="J132" s="173"/>
      <c r="K132" s="171" t="s">
        <v>691</v>
      </c>
      <c r="L132" s="231" t="s">
        <v>27</v>
      </c>
      <c r="M132" s="173"/>
      <c r="N132" s="229"/>
      <c r="O132" s="242"/>
      <c r="P132" s="173"/>
      <c r="Q132" s="173"/>
      <c r="R132" s="173"/>
      <c r="S132" s="173"/>
    </row>
    <row r="133" spans="1:19" ht="26" x14ac:dyDescent="0.35">
      <c r="A133" s="12" t="s">
        <v>348</v>
      </c>
      <c r="B133" s="11"/>
      <c r="C133" s="22" t="s">
        <v>306</v>
      </c>
      <c r="D133" s="23" t="s">
        <v>307</v>
      </c>
      <c r="E133" s="112"/>
      <c r="F133" s="112"/>
      <c r="G133" s="20"/>
      <c r="H133" s="68" t="s">
        <v>692</v>
      </c>
      <c r="I133" s="11"/>
      <c r="J133" s="121" t="s">
        <v>348</v>
      </c>
      <c r="K133" s="121" t="s">
        <v>349</v>
      </c>
      <c r="L133" s="25" t="s">
        <v>27</v>
      </c>
      <c r="N133" s="99" t="s">
        <v>22</v>
      </c>
    </row>
    <row r="134" spans="1:19" x14ac:dyDescent="0.35">
      <c r="A134" s="113"/>
      <c r="B134" s="11"/>
      <c r="C134" s="22" t="s">
        <v>306</v>
      </c>
      <c r="D134" s="23" t="s">
        <v>307</v>
      </c>
      <c r="E134" s="112"/>
      <c r="F134" s="112"/>
      <c r="G134" s="20"/>
      <c r="H134" s="68" t="s">
        <v>693</v>
      </c>
      <c r="I134" s="11"/>
      <c r="J134" s="134" t="s">
        <v>350</v>
      </c>
      <c r="K134" s="121" t="s">
        <v>351</v>
      </c>
      <c r="L134" s="25" t="s">
        <v>27</v>
      </c>
      <c r="N134" s="99" t="s">
        <v>22</v>
      </c>
    </row>
    <row r="135" spans="1:19" x14ac:dyDescent="0.35">
      <c r="A135" s="17"/>
      <c r="B135" s="11"/>
      <c r="C135" s="22" t="s">
        <v>306</v>
      </c>
      <c r="D135" s="23" t="s">
        <v>307</v>
      </c>
      <c r="E135" s="112"/>
      <c r="F135" s="112"/>
      <c r="G135" s="20"/>
      <c r="H135" s="68" t="s">
        <v>694</v>
      </c>
      <c r="I135" s="11"/>
      <c r="J135" s="134" t="s">
        <v>346</v>
      </c>
      <c r="K135" s="121" t="s">
        <v>352</v>
      </c>
      <c r="L135" s="25" t="s">
        <v>27</v>
      </c>
      <c r="N135" s="99" t="s">
        <v>22</v>
      </c>
    </row>
    <row r="136" spans="1:19" x14ac:dyDescent="0.35">
      <c r="A136" s="17"/>
      <c r="B136" s="11"/>
      <c r="C136" s="22" t="s">
        <v>306</v>
      </c>
      <c r="D136" s="23" t="s">
        <v>307</v>
      </c>
      <c r="E136" s="112"/>
      <c r="F136" s="112"/>
      <c r="G136" s="20"/>
      <c r="H136" s="68" t="s">
        <v>695</v>
      </c>
      <c r="I136" s="11"/>
      <c r="J136" s="135"/>
      <c r="K136" s="3" t="s">
        <v>353</v>
      </c>
      <c r="L136" s="25" t="s">
        <v>27</v>
      </c>
      <c r="N136" s="99" t="s">
        <v>22</v>
      </c>
    </row>
    <row r="137" spans="1:19" s="233" customFormat="1" x14ac:dyDescent="0.35">
      <c r="A137" s="173"/>
      <c r="B137" s="173"/>
      <c r="C137" s="235" t="s">
        <v>306</v>
      </c>
      <c r="D137" s="235" t="s">
        <v>307</v>
      </c>
      <c r="E137" s="173"/>
      <c r="F137" s="229" t="s">
        <v>250</v>
      </c>
      <c r="G137" s="173"/>
      <c r="H137" s="230"/>
      <c r="I137" s="173"/>
      <c r="J137" s="173"/>
      <c r="K137" s="171" t="s">
        <v>696</v>
      </c>
      <c r="L137" s="231" t="s">
        <v>27</v>
      </c>
      <c r="M137" s="173"/>
      <c r="N137" s="229"/>
      <c r="O137" s="242"/>
      <c r="P137" s="173"/>
      <c r="Q137" s="173"/>
      <c r="R137" s="173"/>
      <c r="S137" s="173"/>
    </row>
    <row r="138" spans="1:19" x14ac:dyDescent="0.35">
      <c r="A138" s="136" t="s">
        <v>354</v>
      </c>
      <c r="B138" s="2"/>
      <c r="C138" s="22" t="s">
        <v>306</v>
      </c>
      <c r="D138" s="23" t="s">
        <v>307</v>
      </c>
      <c r="E138" s="2"/>
      <c r="F138" s="64" t="s">
        <v>250</v>
      </c>
      <c r="G138" s="2"/>
      <c r="H138" s="68" t="s">
        <v>697</v>
      </c>
      <c r="I138" s="274" t="s">
        <v>355</v>
      </c>
      <c r="J138" s="137" t="s">
        <v>356</v>
      </c>
      <c r="K138" s="131" t="s">
        <v>357</v>
      </c>
      <c r="L138" s="13" t="s">
        <v>27</v>
      </c>
      <c r="N138" s="99" t="s">
        <v>22</v>
      </c>
    </row>
    <row r="139" spans="1:19" ht="29" x14ac:dyDescent="0.35">
      <c r="A139" s="2"/>
      <c r="B139" s="2"/>
      <c r="C139" s="22" t="s">
        <v>306</v>
      </c>
      <c r="D139" s="23" t="s">
        <v>307</v>
      </c>
      <c r="E139" s="2"/>
      <c r="F139" s="64" t="s">
        <v>250</v>
      </c>
      <c r="G139" s="2"/>
      <c r="H139" s="68" t="s">
        <v>698</v>
      </c>
      <c r="I139" s="274"/>
      <c r="J139" s="137" t="s">
        <v>359</v>
      </c>
      <c r="K139" s="131" t="s">
        <v>360</v>
      </c>
      <c r="L139" s="13" t="s">
        <v>27</v>
      </c>
      <c r="N139" s="99" t="s">
        <v>22</v>
      </c>
    </row>
    <row r="140" spans="1:19" x14ac:dyDescent="0.35">
      <c r="A140" s="2"/>
      <c r="B140" s="2"/>
      <c r="C140" s="22" t="s">
        <v>306</v>
      </c>
      <c r="D140" s="23" t="s">
        <v>307</v>
      </c>
      <c r="E140" s="2"/>
      <c r="F140" s="64" t="s">
        <v>250</v>
      </c>
      <c r="G140" s="2"/>
      <c r="H140" s="68" t="s">
        <v>699</v>
      </c>
      <c r="I140" s="274"/>
      <c r="J140" s="137" t="s">
        <v>361</v>
      </c>
      <c r="K140" s="131" t="s">
        <v>362</v>
      </c>
      <c r="L140" s="13" t="s">
        <v>27</v>
      </c>
      <c r="N140" s="99" t="s">
        <v>22</v>
      </c>
    </row>
    <row r="141" spans="1:19" x14ac:dyDescent="0.35">
      <c r="A141" s="2"/>
      <c r="B141" s="2"/>
      <c r="C141" s="22" t="s">
        <v>306</v>
      </c>
      <c r="D141" s="23" t="s">
        <v>307</v>
      </c>
      <c r="E141" s="2"/>
      <c r="F141" s="64" t="s">
        <v>250</v>
      </c>
      <c r="G141" s="2"/>
      <c r="H141" s="68" t="s">
        <v>700</v>
      </c>
      <c r="I141" s="138" t="s">
        <v>363</v>
      </c>
      <c r="J141" s="137" t="s">
        <v>364</v>
      </c>
      <c r="K141" s="131" t="s">
        <v>365</v>
      </c>
      <c r="L141" s="13" t="s">
        <v>27</v>
      </c>
      <c r="N141" s="99" t="s">
        <v>22</v>
      </c>
    </row>
    <row r="142" spans="1:19" ht="29" x14ac:dyDescent="0.35">
      <c r="A142" s="2"/>
      <c r="B142" s="2"/>
      <c r="C142" s="22" t="s">
        <v>306</v>
      </c>
      <c r="D142" s="23" t="s">
        <v>307</v>
      </c>
      <c r="E142" s="2"/>
      <c r="F142" s="64" t="s">
        <v>250</v>
      </c>
      <c r="G142" s="2"/>
      <c r="H142" s="68" t="s">
        <v>701</v>
      </c>
      <c r="I142" s="138" t="s">
        <v>366</v>
      </c>
      <c r="J142" s="139" t="s">
        <v>367</v>
      </c>
      <c r="K142" s="131" t="s">
        <v>368</v>
      </c>
      <c r="L142" s="13" t="s">
        <v>27</v>
      </c>
      <c r="N142" s="99" t="s">
        <v>77</v>
      </c>
    </row>
    <row r="143" spans="1:19" ht="29" x14ac:dyDescent="0.35">
      <c r="A143" s="2"/>
      <c r="B143" s="2"/>
      <c r="C143" s="22" t="s">
        <v>306</v>
      </c>
      <c r="D143" s="23" t="s">
        <v>307</v>
      </c>
      <c r="E143" s="2"/>
      <c r="F143" s="64" t="s">
        <v>250</v>
      </c>
      <c r="G143" s="2"/>
      <c r="H143" s="68" t="s">
        <v>702</v>
      </c>
      <c r="I143" s="274" t="s">
        <v>329</v>
      </c>
      <c r="J143" s="139" t="s">
        <v>369</v>
      </c>
      <c r="K143" s="131" t="s">
        <v>370</v>
      </c>
      <c r="L143" s="13" t="s">
        <v>27</v>
      </c>
      <c r="N143" s="99" t="s">
        <v>22</v>
      </c>
    </row>
    <row r="144" spans="1:19" x14ac:dyDescent="0.35">
      <c r="A144" s="2"/>
      <c r="B144" s="2"/>
      <c r="C144" s="22" t="s">
        <v>306</v>
      </c>
      <c r="D144" s="23" t="s">
        <v>307</v>
      </c>
      <c r="E144" s="2"/>
      <c r="F144" s="64" t="s">
        <v>250</v>
      </c>
      <c r="G144" s="2"/>
      <c r="H144" s="68" t="s">
        <v>703</v>
      </c>
      <c r="I144" s="274"/>
      <c r="J144" s="139" t="s">
        <v>371</v>
      </c>
      <c r="K144" s="131" t="s">
        <v>372</v>
      </c>
      <c r="L144" s="13" t="s">
        <v>27</v>
      </c>
      <c r="N144" s="99" t="s">
        <v>343</v>
      </c>
    </row>
    <row r="145" spans="1:19" ht="29" x14ac:dyDescent="0.35">
      <c r="A145" s="2"/>
      <c r="B145" s="2"/>
      <c r="C145" s="22" t="s">
        <v>306</v>
      </c>
      <c r="D145" s="23" t="s">
        <v>307</v>
      </c>
      <c r="E145" s="2"/>
      <c r="F145" s="64" t="s">
        <v>250</v>
      </c>
      <c r="G145" s="2"/>
      <c r="H145" s="68" t="s">
        <v>704</v>
      </c>
      <c r="I145" s="274"/>
      <c r="J145" s="139" t="s">
        <v>373</v>
      </c>
      <c r="K145" s="131" t="s">
        <v>374</v>
      </c>
      <c r="L145" s="13" t="s">
        <v>27</v>
      </c>
      <c r="N145" s="99" t="s">
        <v>22</v>
      </c>
    </row>
    <row r="146" spans="1:19" x14ac:dyDescent="0.35">
      <c r="A146" s="2"/>
      <c r="B146" s="2"/>
      <c r="C146" s="22" t="s">
        <v>306</v>
      </c>
      <c r="D146" s="23" t="s">
        <v>307</v>
      </c>
      <c r="E146" s="2"/>
      <c r="F146" s="64" t="s">
        <v>250</v>
      </c>
      <c r="G146" s="2"/>
      <c r="H146" s="68" t="s">
        <v>705</v>
      </c>
      <c r="I146" s="274"/>
      <c r="J146" s="139" t="s">
        <v>375</v>
      </c>
      <c r="K146" s="131" t="s">
        <v>376</v>
      </c>
      <c r="L146" s="13" t="s">
        <v>27</v>
      </c>
      <c r="N146" s="99" t="s">
        <v>22</v>
      </c>
      <c r="S146" s="3"/>
    </row>
    <row r="147" spans="1:19" x14ac:dyDescent="0.35">
      <c r="A147" s="2"/>
      <c r="B147" s="2"/>
      <c r="C147" s="22" t="s">
        <v>306</v>
      </c>
      <c r="D147" s="23" t="s">
        <v>307</v>
      </c>
      <c r="E147" s="2"/>
      <c r="F147" s="64" t="s">
        <v>250</v>
      </c>
      <c r="G147" s="2"/>
      <c r="H147" s="68" t="s">
        <v>706</v>
      </c>
      <c r="I147" s="274"/>
      <c r="J147" s="139" t="s">
        <v>378</v>
      </c>
      <c r="K147" s="131" t="s">
        <v>379</v>
      </c>
      <c r="L147" s="13" t="s">
        <v>27</v>
      </c>
      <c r="N147" s="99" t="s">
        <v>22</v>
      </c>
      <c r="S147" s="3"/>
    </row>
    <row r="148" spans="1:19" x14ac:dyDescent="0.35">
      <c r="A148" s="2"/>
      <c r="B148" s="2"/>
      <c r="C148" s="22" t="s">
        <v>306</v>
      </c>
      <c r="D148" s="23" t="s">
        <v>307</v>
      </c>
      <c r="E148" s="2"/>
      <c r="F148" s="64" t="s">
        <v>250</v>
      </c>
      <c r="G148" s="2"/>
      <c r="H148" s="68" t="s">
        <v>707</v>
      </c>
      <c r="I148" s="274"/>
      <c r="J148" s="139" t="s">
        <v>380</v>
      </c>
      <c r="K148" s="131" t="s">
        <v>381</v>
      </c>
      <c r="L148" s="13" t="s">
        <v>27</v>
      </c>
      <c r="N148" s="99" t="s">
        <v>343</v>
      </c>
    </row>
    <row r="149" spans="1:19" x14ac:dyDescent="0.35">
      <c r="A149" s="2"/>
      <c r="B149" s="2"/>
      <c r="C149" s="22" t="s">
        <v>306</v>
      </c>
      <c r="D149" s="23" t="s">
        <v>307</v>
      </c>
      <c r="E149" s="2"/>
      <c r="F149" s="64" t="s">
        <v>250</v>
      </c>
      <c r="G149" s="2"/>
      <c r="H149" s="68" t="s">
        <v>708</v>
      </c>
      <c r="I149" s="274"/>
      <c r="J149" s="139" t="s">
        <v>382</v>
      </c>
      <c r="K149" s="131" t="s">
        <v>383</v>
      </c>
      <c r="L149" s="13" t="s">
        <v>27</v>
      </c>
      <c r="N149" s="99" t="s">
        <v>343</v>
      </c>
      <c r="S149" s="3"/>
    </row>
    <row r="150" spans="1:19" ht="29" x14ac:dyDescent="0.35">
      <c r="A150" s="2"/>
      <c r="B150" s="2"/>
      <c r="C150" s="22" t="s">
        <v>306</v>
      </c>
      <c r="D150" s="23" t="s">
        <v>307</v>
      </c>
      <c r="E150" s="2"/>
      <c r="F150" s="64" t="s">
        <v>250</v>
      </c>
      <c r="G150" s="2"/>
      <c r="H150" s="68" t="s">
        <v>709</v>
      </c>
      <c r="I150" s="274"/>
      <c r="J150" s="139" t="s">
        <v>384</v>
      </c>
      <c r="K150" s="131" t="s">
        <v>385</v>
      </c>
      <c r="L150" s="13" t="s">
        <v>27</v>
      </c>
      <c r="N150" s="99" t="s">
        <v>77</v>
      </c>
    </row>
    <row r="151" spans="1:19" ht="29" x14ac:dyDescent="0.35">
      <c r="A151" s="2"/>
      <c r="B151" s="2"/>
      <c r="C151" s="22" t="s">
        <v>306</v>
      </c>
      <c r="D151" s="23" t="s">
        <v>307</v>
      </c>
      <c r="E151" s="2"/>
      <c r="F151" s="64" t="s">
        <v>250</v>
      </c>
      <c r="G151" s="2"/>
      <c r="H151" s="68" t="s">
        <v>710</v>
      </c>
      <c r="I151" s="274"/>
      <c r="J151" s="139" t="s">
        <v>386</v>
      </c>
      <c r="K151" s="131" t="s">
        <v>387</v>
      </c>
      <c r="L151" s="13" t="s">
        <v>27</v>
      </c>
      <c r="N151" s="99" t="s">
        <v>22</v>
      </c>
      <c r="S151" s="3"/>
    </row>
    <row r="152" spans="1:19" x14ac:dyDescent="0.35">
      <c r="A152" s="2"/>
      <c r="B152" s="2"/>
      <c r="C152" s="22" t="s">
        <v>306</v>
      </c>
      <c r="D152" s="23" t="s">
        <v>307</v>
      </c>
      <c r="E152" s="2"/>
      <c r="F152" s="64" t="s">
        <v>250</v>
      </c>
      <c r="G152" s="2"/>
      <c r="H152" s="68" t="s">
        <v>711</v>
      </c>
      <c r="I152" s="274"/>
      <c r="J152" s="139" t="s">
        <v>389</v>
      </c>
      <c r="K152" s="131" t="s">
        <v>390</v>
      </c>
      <c r="L152" s="13" t="s">
        <v>27</v>
      </c>
      <c r="N152" s="99" t="s">
        <v>22</v>
      </c>
    </row>
    <row r="153" spans="1:19" x14ac:dyDescent="0.35">
      <c r="A153" s="2"/>
      <c r="B153" s="2"/>
      <c r="C153" s="22" t="s">
        <v>306</v>
      </c>
      <c r="D153" s="23" t="s">
        <v>307</v>
      </c>
      <c r="E153" s="2"/>
      <c r="F153" s="64" t="s">
        <v>250</v>
      </c>
      <c r="G153" s="2"/>
      <c r="H153" s="68" t="s">
        <v>712</v>
      </c>
      <c r="I153" s="139" t="s">
        <v>336</v>
      </c>
      <c r="J153" s="139" t="s">
        <v>391</v>
      </c>
      <c r="K153" s="131" t="s">
        <v>392</v>
      </c>
      <c r="L153" s="13" t="s">
        <v>27</v>
      </c>
      <c r="N153" s="99" t="s">
        <v>343</v>
      </c>
      <c r="S153" s="3"/>
    </row>
    <row r="154" spans="1:19" x14ac:dyDescent="0.35">
      <c r="A154" s="2"/>
      <c r="B154" s="2"/>
      <c r="C154" s="22" t="s">
        <v>306</v>
      </c>
      <c r="D154" s="23" t="s">
        <v>307</v>
      </c>
      <c r="E154" s="2"/>
      <c r="F154" s="64" t="s">
        <v>250</v>
      </c>
      <c r="G154" s="2"/>
      <c r="H154" s="68" t="s">
        <v>713</v>
      </c>
      <c r="I154" s="139" t="s">
        <v>393</v>
      </c>
      <c r="J154" s="139" t="s">
        <v>394</v>
      </c>
      <c r="K154" s="131" t="s">
        <v>395</v>
      </c>
      <c r="L154" s="13" t="s">
        <v>27</v>
      </c>
      <c r="N154" s="99" t="s">
        <v>77</v>
      </c>
    </row>
    <row r="155" spans="1:19" ht="29" x14ac:dyDescent="0.35">
      <c r="A155" s="2"/>
      <c r="B155" s="2"/>
      <c r="C155" s="22" t="s">
        <v>306</v>
      </c>
      <c r="D155" s="23" t="s">
        <v>307</v>
      </c>
      <c r="E155" s="2"/>
      <c r="F155" s="64" t="s">
        <v>250</v>
      </c>
      <c r="G155" s="2"/>
      <c r="H155" s="68" t="s">
        <v>714</v>
      </c>
      <c r="I155" s="139" t="s">
        <v>396</v>
      </c>
      <c r="J155" s="139" t="s">
        <v>397</v>
      </c>
      <c r="K155" s="131" t="s">
        <v>398</v>
      </c>
      <c r="L155" s="13" t="s">
        <v>27</v>
      </c>
      <c r="N155" s="99" t="s">
        <v>22</v>
      </c>
      <c r="S155" s="3"/>
    </row>
    <row r="156" spans="1:19" x14ac:dyDescent="0.35">
      <c r="A156" s="2"/>
      <c r="B156" s="2"/>
      <c r="C156" s="22" t="s">
        <v>306</v>
      </c>
      <c r="D156" s="23" t="s">
        <v>307</v>
      </c>
      <c r="E156" s="2"/>
      <c r="F156" s="64" t="s">
        <v>250</v>
      </c>
      <c r="G156" s="2"/>
      <c r="H156" s="68" t="s">
        <v>715</v>
      </c>
      <c r="I156" s="275" t="s">
        <v>400</v>
      </c>
      <c r="J156" s="139" t="s">
        <v>401</v>
      </c>
      <c r="K156" s="131" t="s">
        <v>402</v>
      </c>
      <c r="L156" s="13" t="s">
        <v>27</v>
      </c>
      <c r="N156" s="99" t="s">
        <v>22</v>
      </c>
    </row>
    <row r="157" spans="1:19" x14ac:dyDescent="0.35">
      <c r="A157" s="2"/>
      <c r="B157" s="2"/>
      <c r="C157" s="22" t="s">
        <v>306</v>
      </c>
      <c r="D157" s="23" t="s">
        <v>307</v>
      </c>
      <c r="E157" s="2"/>
      <c r="F157" s="64" t="s">
        <v>250</v>
      </c>
      <c r="G157" s="2"/>
      <c r="H157" s="68" t="s">
        <v>716</v>
      </c>
      <c r="I157" s="275"/>
      <c r="J157" s="139" t="s">
        <v>403</v>
      </c>
      <c r="K157" s="131" t="s">
        <v>404</v>
      </c>
      <c r="L157" s="13" t="s">
        <v>27</v>
      </c>
      <c r="N157" s="99" t="s">
        <v>22</v>
      </c>
    </row>
    <row r="158" spans="1:19" x14ac:dyDescent="0.35">
      <c r="A158" s="2"/>
      <c r="B158" s="2"/>
      <c r="C158" s="22" t="s">
        <v>306</v>
      </c>
      <c r="D158" s="23" t="s">
        <v>307</v>
      </c>
      <c r="E158" s="2"/>
      <c r="F158" s="64" t="s">
        <v>250</v>
      </c>
      <c r="G158" s="2"/>
      <c r="H158" s="68" t="s">
        <v>717</v>
      </c>
      <c r="I158" s="139" t="s">
        <v>405</v>
      </c>
      <c r="J158" s="139" t="s">
        <v>406</v>
      </c>
      <c r="K158" s="131" t="s">
        <v>407</v>
      </c>
      <c r="L158" s="13" t="s">
        <v>27</v>
      </c>
      <c r="N158" s="99" t="s">
        <v>22</v>
      </c>
    </row>
    <row r="159" spans="1:19" x14ac:dyDescent="0.35">
      <c r="I159" s="221"/>
      <c r="J159" s="221"/>
      <c r="K159" s="222"/>
      <c r="L159" s="221"/>
      <c r="M159" s="221"/>
      <c r="N159" s="223"/>
      <c r="O159" s="244"/>
      <c r="P159" s="221"/>
      <c r="Q159" s="221"/>
      <c r="R159" s="221"/>
      <c r="S159" s="221"/>
    </row>
    <row r="160" spans="1:19" x14ac:dyDescent="0.35">
      <c r="N160" s="99"/>
    </row>
    <row r="161" spans="14:14" x14ac:dyDescent="0.35">
      <c r="N161" s="99"/>
    </row>
    <row r="162" spans="14:14" x14ac:dyDescent="0.35">
      <c r="N162" s="99"/>
    </row>
    <row r="163" spans="14:14" x14ac:dyDescent="0.35">
      <c r="N163" s="99"/>
    </row>
    <row r="164" spans="14:14" x14ac:dyDescent="0.35">
      <c r="N164" s="99"/>
    </row>
    <row r="165" spans="14:14" x14ac:dyDescent="0.35">
      <c r="N165" s="99"/>
    </row>
    <row r="166" spans="14:14" x14ac:dyDescent="0.35">
      <c r="N166" s="99"/>
    </row>
    <row r="167" spans="14:14" x14ac:dyDescent="0.35">
      <c r="N167" s="99"/>
    </row>
    <row r="168" spans="14:14" x14ac:dyDescent="0.35">
      <c r="N168" s="99"/>
    </row>
    <row r="169" spans="14:14" x14ac:dyDescent="0.35">
      <c r="N169" s="99"/>
    </row>
    <row r="170" spans="14:14" x14ac:dyDescent="0.35">
      <c r="N170" s="99"/>
    </row>
    <row r="171" spans="14:14" x14ac:dyDescent="0.35">
      <c r="N171" s="99"/>
    </row>
    <row r="172" spans="14:14" x14ac:dyDescent="0.35">
      <c r="N172" s="99"/>
    </row>
    <row r="173" spans="14:14" x14ac:dyDescent="0.35">
      <c r="N173" s="99"/>
    </row>
    <row r="174" spans="14:14" x14ac:dyDescent="0.35">
      <c r="N174" s="99"/>
    </row>
    <row r="175" spans="14:14" x14ac:dyDescent="0.35">
      <c r="N175" s="99"/>
    </row>
    <row r="176" spans="14:14" x14ac:dyDescent="0.35">
      <c r="N176" s="99"/>
    </row>
  </sheetData>
  <autoFilter ref="A1:S1" xr:uid="{07DD3747-C43B-466A-B721-8C6CB63475DF}"/>
  <mergeCells count="6">
    <mergeCell ref="J34:K34"/>
    <mergeCell ref="I138:I140"/>
    <mergeCell ref="I143:I152"/>
    <mergeCell ref="I156:I157"/>
    <mergeCell ref="J111:J115"/>
    <mergeCell ref="J125:J127"/>
  </mergeCells>
  <phoneticPr fontId="12" type="noConversion"/>
  <conditionalFormatting sqref="B2:C12">
    <cfRule type="expression" dxfId="8" priority="8" stopIfTrue="1">
      <formula>(#REF! = "Not First Step")</formula>
    </cfRule>
  </conditionalFormatting>
  <conditionalFormatting sqref="F2:F52 B36:C39 B111:B112">
    <cfRule type="expression" dxfId="7" priority="3" stopIfTrue="1">
      <formula>(#REF! = "Not First Step")</formula>
    </cfRule>
  </conditionalFormatting>
  <conditionalFormatting sqref="F62:F110 A69:B102 A113:B131 A133:B136">
    <cfRule type="expression" dxfId="6" priority="6" stopIfTrue="1">
      <formula>(#REF! = "Not First Step")</formula>
    </cfRule>
  </conditionalFormatting>
  <conditionalFormatting sqref="F132">
    <cfRule type="expression" dxfId="5" priority="1" stopIfTrue="1">
      <formula>(#REF! = "Not First Step")</formula>
    </cfRule>
  </conditionalFormatting>
  <conditionalFormatting sqref="F137:F158">
    <cfRule type="expression" dxfId="4" priority="7" stopIfTrue="1">
      <formula>(#REF! = "Not First Step")</formula>
    </cfRule>
  </conditionalFormatting>
  <dataValidations count="2">
    <dataValidation type="list" allowBlank="1" showInputMessage="1" showErrorMessage="1" sqref="F137:F158 F132 F1:F52 F62:F110" xr:uid="{0EE5B47A-6907-4F81-963B-77A84BDFBDF0}">
      <formula1>Status</formula1>
    </dataValidation>
    <dataValidation type="list" allowBlank="1" showInputMessage="1" showErrorMessage="1" sqref="N2:N176" xr:uid="{6BE0325E-28FD-49CE-81A5-C4006A9219BB}">
      <formula1>"Pass,Fail,Deferred,Not Valid,Not Applicable,In Progress,No Run"</formula1>
    </dataValidation>
  </dataValidations>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3327D-F1DB-45EB-B19C-A80EAA564D45}">
  <dimension ref="A1:S35"/>
  <sheetViews>
    <sheetView topLeftCell="A19" workbookViewId="0">
      <selection activeCell="N23" sqref="N23"/>
    </sheetView>
  </sheetViews>
  <sheetFormatPr defaultRowHeight="14.5" x14ac:dyDescent="0.35"/>
  <cols>
    <col min="1" max="1" width="20.54296875" customWidth="1"/>
    <col min="2" max="2" width="17.54296875" customWidth="1"/>
    <col min="3" max="3" width="12.54296875" customWidth="1"/>
    <col min="4" max="4" width="9.453125" customWidth="1"/>
    <col min="5" max="5" width="7" customWidth="1"/>
    <col min="6" max="6" width="8" bestFit="1" customWidth="1"/>
    <col min="7" max="7" width="6" bestFit="1" customWidth="1"/>
    <col min="8" max="9" width="6.54296875" bestFit="1" customWidth="1"/>
    <col min="10" max="10" width="17.453125" bestFit="1" customWidth="1"/>
    <col min="11" max="11" width="74.54296875" bestFit="1" customWidth="1"/>
    <col min="12" max="12" width="14.453125" customWidth="1"/>
    <col min="13" max="13" width="7.453125" bestFit="1" customWidth="1"/>
    <col min="14" max="14" width="7.54296875" bestFit="1" customWidth="1"/>
    <col min="15" max="15" width="19.81640625" customWidth="1"/>
    <col min="16" max="16" width="8.453125" bestFit="1" customWidth="1"/>
    <col min="17" max="17" width="4.453125" bestFit="1" customWidth="1"/>
    <col min="18" max="18" width="6.54296875" bestFit="1" customWidth="1"/>
    <col min="19" max="19" width="8.453125" bestFit="1" customWidth="1"/>
  </cols>
  <sheetData>
    <row r="1" spans="1:19" ht="39" x14ac:dyDescent="0.35">
      <c r="A1" s="96" t="s">
        <v>0</v>
      </c>
      <c r="B1" s="58" t="s">
        <v>1</v>
      </c>
      <c r="C1" s="96" t="s">
        <v>2</v>
      </c>
      <c r="D1" s="58" t="s">
        <v>3</v>
      </c>
      <c r="E1" s="58" t="s">
        <v>4</v>
      </c>
      <c r="F1" s="58" t="s">
        <v>5</v>
      </c>
      <c r="G1" s="58" t="s">
        <v>6</v>
      </c>
      <c r="H1" s="59" t="s">
        <v>7</v>
      </c>
      <c r="I1" s="59" t="s">
        <v>8</v>
      </c>
      <c r="J1" s="59" t="s">
        <v>9</v>
      </c>
      <c r="K1" s="84" t="s">
        <v>10</v>
      </c>
      <c r="L1" s="60" t="s">
        <v>11</v>
      </c>
      <c r="M1" s="60" t="s">
        <v>12</v>
      </c>
      <c r="N1" s="59" t="s">
        <v>13</v>
      </c>
      <c r="O1" s="59" t="s">
        <v>14</v>
      </c>
      <c r="P1" s="59" t="s">
        <v>15</v>
      </c>
      <c r="Q1" s="59" t="s">
        <v>16</v>
      </c>
      <c r="R1" s="59" t="s">
        <v>17</v>
      </c>
      <c r="S1" s="59" t="s">
        <v>18</v>
      </c>
    </row>
    <row r="2" spans="1:19" ht="29" x14ac:dyDescent="0.35">
      <c r="H2" s="68"/>
      <c r="J2" s="166"/>
      <c r="K2" s="167" t="s">
        <v>609</v>
      </c>
      <c r="L2" s="19" t="s">
        <v>27</v>
      </c>
      <c r="M2" s="98"/>
      <c r="N2" s="99"/>
    </row>
    <row r="3" spans="1:19" ht="29" x14ac:dyDescent="0.35">
      <c r="H3" t="s">
        <v>23</v>
      </c>
      <c r="J3" t="s">
        <v>718</v>
      </c>
      <c r="K3" t="s">
        <v>719</v>
      </c>
      <c r="L3" s="19" t="s">
        <v>27</v>
      </c>
      <c r="M3" s="98"/>
      <c r="N3" s="99" t="s">
        <v>22</v>
      </c>
    </row>
    <row r="4" spans="1:19" ht="29" x14ac:dyDescent="0.35">
      <c r="H4" t="s">
        <v>28</v>
      </c>
      <c r="J4" t="s">
        <v>718</v>
      </c>
      <c r="K4" t="s">
        <v>720</v>
      </c>
      <c r="L4" s="19" t="s">
        <v>27</v>
      </c>
      <c r="M4" s="98"/>
      <c r="N4" s="99" t="s">
        <v>22</v>
      </c>
    </row>
    <row r="5" spans="1:19" ht="29" x14ac:dyDescent="0.35">
      <c r="H5" t="s">
        <v>30</v>
      </c>
      <c r="J5" t="s">
        <v>718</v>
      </c>
      <c r="K5" t="s">
        <v>721</v>
      </c>
      <c r="L5" s="19" t="s">
        <v>27</v>
      </c>
      <c r="M5" s="98"/>
      <c r="N5" s="99" t="s">
        <v>22</v>
      </c>
    </row>
    <row r="6" spans="1:19" ht="29" x14ac:dyDescent="0.35">
      <c r="H6" t="s">
        <v>32</v>
      </c>
      <c r="J6" t="s">
        <v>718</v>
      </c>
      <c r="K6" t="s">
        <v>722</v>
      </c>
      <c r="L6" s="19" t="s">
        <v>27</v>
      </c>
      <c r="M6" s="98"/>
      <c r="N6" s="99" t="s">
        <v>22</v>
      </c>
    </row>
    <row r="7" spans="1:19" ht="29" x14ac:dyDescent="0.35">
      <c r="H7" t="s">
        <v>34</v>
      </c>
      <c r="J7" t="s">
        <v>718</v>
      </c>
      <c r="K7" t="s">
        <v>723</v>
      </c>
      <c r="L7" s="19" t="s">
        <v>27</v>
      </c>
      <c r="M7" s="98"/>
      <c r="N7" s="99" t="s">
        <v>22</v>
      </c>
    </row>
    <row r="8" spans="1:19" ht="29" x14ac:dyDescent="0.35">
      <c r="H8" t="s">
        <v>36</v>
      </c>
      <c r="J8" t="s">
        <v>718</v>
      </c>
      <c r="K8" t="s">
        <v>724</v>
      </c>
      <c r="L8" s="19" t="s">
        <v>27</v>
      </c>
      <c r="M8" s="98"/>
      <c r="N8" s="99" t="s">
        <v>22</v>
      </c>
    </row>
    <row r="9" spans="1:19" ht="29" x14ac:dyDescent="0.35">
      <c r="H9" t="s">
        <v>38</v>
      </c>
      <c r="J9" t="s">
        <v>718</v>
      </c>
      <c r="K9" t="s">
        <v>725</v>
      </c>
      <c r="L9" s="19" t="s">
        <v>27</v>
      </c>
      <c r="M9" s="98"/>
      <c r="N9" s="99" t="s">
        <v>22</v>
      </c>
    </row>
    <row r="10" spans="1:19" ht="29" x14ac:dyDescent="0.35">
      <c r="H10" t="s">
        <v>40</v>
      </c>
      <c r="J10" t="s">
        <v>718</v>
      </c>
      <c r="K10" t="s">
        <v>726</v>
      </c>
      <c r="L10" s="19" t="s">
        <v>27</v>
      </c>
      <c r="M10" s="98"/>
      <c r="N10" s="99" t="s">
        <v>22</v>
      </c>
    </row>
    <row r="11" spans="1:19" ht="29" x14ac:dyDescent="0.35">
      <c r="H11" t="s">
        <v>42</v>
      </c>
      <c r="J11" t="s">
        <v>718</v>
      </c>
      <c r="K11" t="s">
        <v>727</v>
      </c>
      <c r="L11" s="19" t="s">
        <v>27</v>
      </c>
      <c r="M11" s="98"/>
      <c r="N11" s="99" t="s">
        <v>22</v>
      </c>
    </row>
    <row r="12" spans="1:19" ht="29" x14ac:dyDescent="0.35">
      <c r="H12" t="s">
        <v>148</v>
      </c>
      <c r="J12" t="s">
        <v>718</v>
      </c>
      <c r="K12" t="s">
        <v>728</v>
      </c>
      <c r="L12" s="19" t="s">
        <v>27</v>
      </c>
      <c r="M12" s="98"/>
      <c r="N12" s="99" t="s">
        <v>22</v>
      </c>
    </row>
    <row r="13" spans="1:19" ht="29" x14ac:dyDescent="0.35">
      <c r="K13" s="106" t="s">
        <v>729</v>
      </c>
      <c r="L13" s="19" t="s">
        <v>27</v>
      </c>
      <c r="M13" s="98"/>
      <c r="N13" s="99" t="s">
        <v>22</v>
      </c>
    </row>
    <row r="14" spans="1:19" ht="29" x14ac:dyDescent="0.35">
      <c r="J14" t="s">
        <v>730</v>
      </c>
      <c r="K14" s="106" t="s">
        <v>731</v>
      </c>
      <c r="L14" s="19" t="s">
        <v>27</v>
      </c>
      <c r="M14" s="98"/>
      <c r="N14" s="99" t="s">
        <v>22</v>
      </c>
    </row>
    <row r="15" spans="1:19" ht="29" x14ac:dyDescent="0.35">
      <c r="H15" t="s">
        <v>150</v>
      </c>
      <c r="J15" t="s">
        <v>718</v>
      </c>
      <c r="K15" t="s">
        <v>732</v>
      </c>
      <c r="L15" s="19" t="s">
        <v>27</v>
      </c>
      <c r="M15" s="98"/>
      <c r="N15" s="99" t="s">
        <v>22</v>
      </c>
    </row>
    <row r="16" spans="1:19" x14ac:dyDescent="0.35">
      <c r="J16" s="276" t="s">
        <v>234</v>
      </c>
      <c r="K16" s="277"/>
      <c r="L16" s="277"/>
      <c r="M16" s="98"/>
      <c r="N16" s="99" t="s">
        <v>22</v>
      </c>
    </row>
    <row r="17" spans="1:19" ht="29" x14ac:dyDescent="0.35">
      <c r="H17" t="s">
        <v>44</v>
      </c>
      <c r="J17" t="s">
        <v>234</v>
      </c>
      <c r="K17" t="s">
        <v>733</v>
      </c>
      <c r="L17" s="19" t="s">
        <v>27</v>
      </c>
      <c r="M17" s="98"/>
      <c r="N17" s="99" t="s">
        <v>22</v>
      </c>
    </row>
    <row r="18" spans="1:19" ht="29" x14ac:dyDescent="0.35">
      <c r="H18" t="s">
        <v>46</v>
      </c>
      <c r="J18" t="s">
        <v>234</v>
      </c>
      <c r="K18" t="s">
        <v>734</v>
      </c>
      <c r="L18" s="19" t="s">
        <v>27</v>
      </c>
      <c r="M18" s="98"/>
      <c r="N18" s="99" t="s">
        <v>22</v>
      </c>
    </row>
    <row r="19" spans="1:19" x14ac:dyDescent="0.35">
      <c r="J19" s="276" t="s">
        <v>735</v>
      </c>
      <c r="K19" s="277"/>
      <c r="L19" s="277"/>
      <c r="M19" s="98"/>
      <c r="N19" s="99" t="s">
        <v>22</v>
      </c>
    </row>
    <row r="20" spans="1:19" ht="29" x14ac:dyDescent="0.35">
      <c r="H20" t="s">
        <v>48</v>
      </c>
      <c r="J20" t="s">
        <v>735</v>
      </c>
      <c r="K20" t="s">
        <v>736</v>
      </c>
      <c r="L20" s="19" t="s">
        <v>27</v>
      </c>
      <c r="M20" s="98"/>
      <c r="N20" s="99" t="s">
        <v>22</v>
      </c>
    </row>
    <row r="21" spans="1:19" ht="29" x14ac:dyDescent="0.35">
      <c r="H21" t="s">
        <v>51</v>
      </c>
      <c r="J21" t="s">
        <v>735</v>
      </c>
      <c r="K21" t="s">
        <v>737</v>
      </c>
      <c r="L21" s="19" t="s">
        <v>27</v>
      </c>
      <c r="M21" s="98"/>
      <c r="N21" s="99" t="s">
        <v>22</v>
      </c>
    </row>
    <row r="22" spans="1:19" x14ac:dyDescent="0.35">
      <c r="J22" s="276" t="s">
        <v>138</v>
      </c>
      <c r="K22" s="277"/>
      <c r="L22" s="277"/>
      <c r="M22" s="98"/>
      <c r="N22" s="99" t="s">
        <v>22</v>
      </c>
    </row>
    <row r="23" spans="1:19" ht="29" x14ac:dyDescent="0.35">
      <c r="H23" t="s">
        <v>53</v>
      </c>
      <c r="J23" t="s">
        <v>138</v>
      </c>
      <c r="K23" t="s">
        <v>738</v>
      </c>
      <c r="L23" s="19" t="s">
        <v>27</v>
      </c>
      <c r="M23" s="98"/>
      <c r="N23" s="99" t="s">
        <v>22</v>
      </c>
    </row>
    <row r="24" spans="1:19" x14ac:dyDescent="0.35">
      <c r="H24" t="s">
        <v>55</v>
      </c>
      <c r="J24" t="s">
        <v>138</v>
      </c>
      <c r="K24" t="s">
        <v>739</v>
      </c>
      <c r="L24" t="s">
        <v>27</v>
      </c>
      <c r="M24" s="98"/>
      <c r="N24" s="99" t="s">
        <v>22</v>
      </c>
    </row>
    <row r="25" spans="1:19" x14ac:dyDescent="0.35">
      <c r="J25" s="276" t="s">
        <v>305</v>
      </c>
      <c r="K25" s="277"/>
      <c r="L25" s="277"/>
      <c r="N25" s="99"/>
    </row>
    <row r="26" spans="1:19" x14ac:dyDescent="0.35">
      <c r="H26" t="s">
        <v>740</v>
      </c>
      <c r="J26" t="s">
        <v>741</v>
      </c>
      <c r="K26" t="s">
        <v>742</v>
      </c>
      <c r="L26" t="s">
        <v>27</v>
      </c>
      <c r="N26" s="99" t="s">
        <v>22</v>
      </c>
    </row>
    <row r="27" spans="1:19" x14ac:dyDescent="0.35">
      <c r="H27" t="s">
        <v>743</v>
      </c>
      <c r="J27" t="s">
        <v>741</v>
      </c>
      <c r="K27" t="s">
        <v>744</v>
      </c>
      <c r="L27" t="s">
        <v>27</v>
      </c>
      <c r="N27" s="99" t="s">
        <v>22</v>
      </c>
    </row>
    <row r="28" spans="1:19" ht="72.5" x14ac:dyDescent="0.35">
      <c r="J28" s="132" t="s">
        <v>745</v>
      </c>
      <c r="K28" s="106" t="s">
        <v>746</v>
      </c>
      <c r="N28" s="99" t="s">
        <v>77</v>
      </c>
    </row>
    <row r="29" spans="1:19" x14ac:dyDescent="0.35">
      <c r="J29" s="276" t="s">
        <v>747</v>
      </c>
      <c r="K29" s="277" t="s">
        <v>747</v>
      </c>
      <c r="L29" s="277"/>
      <c r="N29" s="99" t="s">
        <v>22</v>
      </c>
    </row>
    <row r="30" spans="1:19" ht="29" x14ac:dyDescent="0.35">
      <c r="A30" s="17"/>
      <c r="B30" s="11"/>
      <c r="C30" s="22"/>
      <c r="D30" s="23"/>
      <c r="E30" s="112"/>
      <c r="F30" s="112"/>
      <c r="G30" s="20"/>
      <c r="H30" s="10"/>
      <c r="I30" s="11"/>
      <c r="J30" s="132" t="s">
        <v>745</v>
      </c>
      <c r="K30" s="106" t="s">
        <v>748</v>
      </c>
      <c r="L30" s="25" t="s">
        <v>27</v>
      </c>
      <c r="M30" s="147"/>
      <c r="N30" s="99" t="s">
        <v>22</v>
      </c>
      <c r="O30" s="220"/>
      <c r="P30" s="220"/>
      <c r="Q30" s="220"/>
      <c r="R30" s="220"/>
      <c r="S30" s="220"/>
    </row>
    <row r="31" spans="1:19" ht="43.5" x14ac:dyDescent="0.35">
      <c r="A31" s="17"/>
      <c r="B31" s="11"/>
      <c r="C31" s="22"/>
      <c r="D31" s="23"/>
      <c r="E31" s="112"/>
      <c r="F31" s="112"/>
      <c r="G31" s="20"/>
      <c r="H31" s="10"/>
      <c r="I31" s="11"/>
      <c r="J31" s="132" t="s">
        <v>745</v>
      </c>
      <c r="K31" s="106" t="s">
        <v>749</v>
      </c>
      <c r="L31" s="25" t="s">
        <v>27</v>
      </c>
      <c r="M31" s="147"/>
      <c r="N31" s="99" t="s">
        <v>22</v>
      </c>
      <c r="O31" s="220"/>
      <c r="P31" s="220"/>
      <c r="Q31" s="220"/>
      <c r="R31" s="220"/>
      <c r="S31" s="220"/>
    </row>
    <row r="32" spans="1:19" ht="29" x14ac:dyDescent="0.35">
      <c r="A32" s="17"/>
      <c r="B32" s="11"/>
      <c r="C32" s="22"/>
      <c r="D32" s="23"/>
      <c r="E32" s="112"/>
      <c r="F32" s="112"/>
      <c r="G32" s="20"/>
      <c r="H32" s="10"/>
      <c r="I32" s="11"/>
      <c r="J32" s="132" t="s">
        <v>745</v>
      </c>
      <c r="K32" s="106" t="s">
        <v>750</v>
      </c>
      <c r="L32" s="25" t="s">
        <v>27</v>
      </c>
      <c r="M32" s="147"/>
      <c r="N32" s="99" t="s">
        <v>22</v>
      </c>
      <c r="O32" s="220"/>
      <c r="P32" s="220"/>
      <c r="Q32" s="220"/>
      <c r="R32" s="220"/>
      <c r="S32" s="220"/>
    </row>
    <row r="33" spans="1:19" ht="43.5" x14ac:dyDescent="0.35">
      <c r="A33" s="17"/>
      <c r="B33" s="11"/>
      <c r="C33" s="22"/>
      <c r="D33" s="23"/>
      <c r="E33" s="112"/>
      <c r="F33" s="112"/>
      <c r="G33" s="20"/>
      <c r="H33" s="10"/>
      <c r="I33" s="11"/>
      <c r="J33" s="132" t="s">
        <v>745</v>
      </c>
      <c r="K33" s="106" t="s">
        <v>751</v>
      </c>
      <c r="L33" s="25" t="s">
        <v>27</v>
      </c>
      <c r="M33" s="147"/>
      <c r="N33" s="99" t="s">
        <v>22</v>
      </c>
      <c r="O33" s="220"/>
      <c r="P33" s="220"/>
      <c r="Q33" s="220"/>
      <c r="R33" s="220"/>
      <c r="S33" s="220"/>
    </row>
    <row r="34" spans="1:19" ht="43.5" x14ac:dyDescent="0.35">
      <c r="A34" s="17"/>
      <c r="B34" s="11"/>
      <c r="C34" s="22"/>
      <c r="D34" s="23"/>
      <c r="E34" s="112"/>
      <c r="F34" s="112"/>
      <c r="G34" s="20"/>
      <c r="H34" s="10"/>
      <c r="I34" s="11"/>
      <c r="J34" s="132" t="s">
        <v>745</v>
      </c>
      <c r="K34" s="106" t="s">
        <v>752</v>
      </c>
      <c r="L34" s="25" t="s">
        <v>27</v>
      </c>
      <c r="M34" s="147"/>
      <c r="N34" s="99" t="s">
        <v>22</v>
      </c>
      <c r="O34" s="220"/>
      <c r="P34" s="220"/>
      <c r="Q34" s="220"/>
      <c r="R34" s="220"/>
      <c r="S34" s="220"/>
    </row>
    <row r="35" spans="1:19" ht="43.5" x14ac:dyDescent="0.35">
      <c r="A35" s="17"/>
      <c r="B35" s="11"/>
      <c r="C35" s="22"/>
      <c r="D35" s="23"/>
      <c r="E35" s="112"/>
      <c r="F35" s="112"/>
      <c r="G35" s="20"/>
      <c r="H35" s="10"/>
      <c r="I35" s="11"/>
      <c r="J35" s="132" t="s">
        <v>745</v>
      </c>
      <c r="K35" s="106" t="s">
        <v>753</v>
      </c>
      <c r="L35" s="25" t="s">
        <v>27</v>
      </c>
      <c r="M35" s="147"/>
      <c r="N35" s="99" t="s">
        <v>343</v>
      </c>
      <c r="O35" s="220" t="s">
        <v>754</v>
      </c>
      <c r="P35" s="220"/>
      <c r="Q35" s="220"/>
      <c r="R35" s="220"/>
      <c r="S35" s="220"/>
    </row>
  </sheetData>
  <mergeCells count="5">
    <mergeCell ref="J25:L25"/>
    <mergeCell ref="J16:L16"/>
    <mergeCell ref="J19:L19"/>
    <mergeCell ref="J22:L22"/>
    <mergeCell ref="J29:L29"/>
  </mergeCells>
  <phoneticPr fontId="12" type="noConversion"/>
  <conditionalFormatting sqref="A30:B35">
    <cfRule type="expression" dxfId="3" priority="1" stopIfTrue="1">
      <formula>(#REF! = "Not First Step")</formula>
    </cfRule>
  </conditionalFormatting>
  <dataValidations count="2">
    <dataValidation type="list" allowBlank="1" showInputMessage="1" showErrorMessage="1" sqref="F1" xr:uid="{228FDC40-9354-45D9-83B8-F7FD4A1B6255}">
      <formula1>Status</formula1>
    </dataValidation>
    <dataValidation type="list" allowBlank="1" showInputMessage="1" showErrorMessage="1" sqref="N2:N35" xr:uid="{ADA96DE7-59AC-4E17-93A6-D225D5E5F0DB}">
      <formula1>"Pass,Fail,Deferred,Not Valid,Not Applicable,In Progress,No Run"</formula1>
    </dataValidation>
  </dataValidations>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16A63-0D79-4A9D-9599-B44C2772E1CE}">
  <dimension ref="A1:S23"/>
  <sheetViews>
    <sheetView workbookViewId="0">
      <selection activeCell="K28" sqref="K28"/>
    </sheetView>
  </sheetViews>
  <sheetFormatPr defaultRowHeight="14.5" x14ac:dyDescent="0.35"/>
  <cols>
    <col min="1" max="1" width="18.453125" customWidth="1"/>
    <col min="2" max="2" width="14.453125" customWidth="1"/>
    <col min="3" max="3" width="11.54296875" customWidth="1"/>
    <col min="4" max="4" width="9.453125" customWidth="1"/>
    <col min="5" max="5" width="13.453125" customWidth="1"/>
    <col min="6" max="6" width="10.453125" customWidth="1"/>
    <col min="7" max="7" width="14.54296875" customWidth="1"/>
    <col min="8" max="8" width="10.453125" customWidth="1"/>
    <col min="9" max="10" width="24.54296875" customWidth="1"/>
    <col min="11" max="11" width="41.54296875" customWidth="1"/>
    <col min="12" max="12" width="26.54296875" customWidth="1"/>
    <col min="13" max="13" width="11.453125" customWidth="1"/>
    <col min="14" max="14" width="15.54296875" customWidth="1"/>
    <col min="19" max="19" width="18.54296875" customWidth="1"/>
  </cols>
  <sheetData>
    <row r="1" spans="1:19" ht="37.5" x14ac:dyDescent="0.35">
      <c r="A1" s="5" t="s">
        <v>0</v>
      </c>
      <c r="B1" s="5" t="s">
        <v>1</v>
      </c>
      <c r="C1" s="5" t="s">
        <v>2</v>
      </c>
      <c r="D1" s="5" t="s">
        <v>3</v>
      </c>
      <c r="E1" s="5" t="s">
        <v>4</v>
      </c>
      <c r="F1" s="5" t="s">
        <v>5</v>
      </c>
      <c r="G1" s="5" t="s">
        <v>6</v>
      </c>
      <c r="H1" s="6" t="s">
        <v>7</v>
      </c>
      <c r="I1" s="6" t="s">
        <v>8</v>
      </c>
      <c r="J1" s="6" t="s">
        <v>9</v>
      </c>
      <c r="K1" s="6" t="s">
        <v>10</v>
      </c>
      <c r="L1" s="7" t="s">
        <v>11</v>
      </c>
      <c r="M1" s="7" t="s">
        <v>12</v>
      </c>
      <c r="N1" s="6" t="s">
        <v>13</v>
      </c>
      <c r="O1" s="8" t="s">
        <v>14</v>
      </c>
      <c r="P1" s="9" t="s">
        <v>15</v>
      </c>
      <c r="Q1" s="9" t="s">
        <v>16</v>
      </c>
      <c r="R1" s="9" t="s">
        <v>17</v>
      </c>
      <c r="S1" s="9" t="s">
        <v>18</v>
      </c>
    </row>
    <row r="2" spans="1:19" x14ac:dyDescent="0.35">
      <c r="A2" s="12" t="s">
        <v>755</v>
      </c>
      <c r="B2" s="11"/>
      <c r="C2" s="11"/>
      <c r="D2" s="22"/>
      <c r="E2" s="23"/>
      <c r="F2" s="11"/>
      <c r="G2" s="20"/>
      <c r="H2" s="10"/>
      <c r="I2" s="12"/>
      <c r="J2" s="48"/>
      <c r="K2" s="3"/>
      <c r="L2" s="25" t="s">
        <v>27</v>
      </c>
      <c r="M2" s="13"/>
      <c r="N2" s="2" t="s">
        <v>293</v>
      </c>
      <c r="O2" s="11"/>
      <c r="P2" s="11"/>
      <c r="Q2" s="14"/>
      <c r="R2" s="11"/>
      <c r="S2" s="11"/>
    </row>
    <row r="3" spans="1:19" x14ac:dyDescent="0.35">
      <c r="A3" s="11"/>
      <c r="B3" s="11"/>
      <c r="C3" s="11"/>
      <c r="D3" s="22"/>
      <c r="E3" s="23"/>
      <c r="F3" s="11"/>
      <c r="G3" s="20"/>
      <c r="H3" s="10"/>
      <c r="I3" s="11"/>
      <c r="J3" s="48"/>
      <c r="K3" s="49"/>
      <c r="L3" s="25" t="s">
        <v>27</v>
      </c>
      <c r="M3" s="13"/>
      <c r="N3" s="2" t="s">
        <v>293</v>
      </c>
      <c r="O3" s="11"/>
      <c r="P3" s="11"/>
      <c r="Q3" s="14"/>
      <c r="R3" s="11"/>
      <c r="S3" s="11"/>
    </row>
    <row r="4" spans="1:19" x14ac:dyDescent="0.35">
      <c r="A4" s="11"/>
      <c r="B4" s="11"/>
      <c r="C4" s="11"/>
      <c r="D4" s="22"/>
      <c r="E4" s="23"/>
      <c r="F4" s="11"/>
      <c r="G4" s="20"/>
      <c r="H4" s="10"/>
      <c r="I4" s="11"/>
      <c r="J4" s="50"/>
      <c r="K4" s="51"/>
      <c r="L4" s="25" t="s">
        <v>27</v>
      </c>
      <c r="M4" s="13"/>
      <c r="N4" s="2" t="s">
        <v>293</v>
      </c>
      <c r="O4" s="11"/>
      <c r="P4" s="11"/>
      <c r="Q4" s="14"/>
      <c r="R4" s="11"/>
      <c r="S4" s="11"/>
    </row>
    <row r="5" spans="1:19" x14ac:dyDescent="0.35">
      <c r="A5" s="11"/>
      <c r="B5" s="11"/>
      <c r="C5" s="11"/>
      <c r="D5" s="22"/>
      <c r="E5" s="23"/>
      <c r="F5" s="11"/>
      <c r="G5" s="20"/>
      <c r="H5" s="10"/>
      <c r="I5" s="11"/>
      <c r="J5" s="50"/>
      <c r="K5" s="51"/>
      <c r="L5" s="25" t="s">
        <v>27</v>
      </c>
      <c r="M5" s="13"/>
      <c r="N5" s="2" t="s">
        <v>293</v>
      </c>
      <c r="O5" s="11"/>
      <c r="P5" s="11"/>
      <c r="Q5" s="14"/>
      <c r="R5" s="11"/>
      <c r="S5" s="11"/>
    </row>
    <row r="6" spans="1:19" x14ac:dyDescent="0.35">
      <c r="A6" s="17"/>
      <c r="B6" s="11"/>
      <c r="C6" s="11"/>
      <c r="D6" s="22"/>
      <c r="E6" s="23"/>
      <c r="F6" s="11"/>
      <c r="G6" s="20"/>
      <c r="H6" s="10"/>
      <c r="I6" s="18"/>
      <c r="J6" s="50"/>
      <c r="K6" s="51"/>
      <c r="L6" s="25" t="s">
        <v>27</v>
      </c>
      <c r="M6" s="19"/>
      <c r="N6" s="2" t="s">
        <v>293</v>
      </c>
      <c r="O6" s="11"/>
      <c r="P6" s="11"/>
      <c r="Q6" s="14"/>
      <c r="R6" s="11"/>
      <c r="S6" s="11"/>
    </row>
    <row r="7" spans="1:19" x14ac:dyDescent="0.35">
      <c r="A7" s="11"/>
      <c r="B7" s="11"/>
      <c r="C7" s="11"/>
      <c r="D7" s="22"/>
      <c r="E7" s="23"/>
      <c r="F7" s="11"/>
      <c r="G7" s="20"/>
      <c r="H7" s="10"/>
      <c r="I7" s="11"/>
      <c r="J7" s="50"/>
      <c r="K7" s="51"/>
      <c r="L7" s="25" t="s">
        <v>27</v>
      </c>
      <c r="M7" s="13"/>
      <c r="N7" s="2" t="s">
        <v>293</v>
      </c>
      <c r="O7" s="11"/>
      <c r="P7" s="11"/>
      <c r="Q7" s="14"/>
      <c r="R7" s="11"/>
      <c r="S7" s="11"/>
    </row>
    <row r="8" spans="1:19" x14ac:dyDescent="0.35">
      <c r="A8" s="17"/>
      <c r="B8" s="11"/>
      <c r="C8" s="11"/>
      <c r="D8" s="22"/>
      <c r="E8" s="23"/>
      <c r="F8" s="11"/>
      <c r="G8" s="20"/>
      <c r="H8" s="10"/>
      <c r="I8" s="18"/>
      <c r="J8" s="50"/>
      <c r="K8" s="51"/>
      <c r="L8" s="25" t="s">
        <v>27</v>
      </c>
      <c r="M8" s="13"/>
      <c r="N8" s="2" t="s">
        <v>293</v>
      </c>
      <c r="O8" s="11"/>
      <c r="P8" s="11"/>
      <c r="Q8" s="14"/>
      <c r="R8" s="11"/>
      <c r="S8" s="11"/>
    </row>
    <row r="9" spans="1:19" x14ac:dyDescent="0.35">
      <c r="A9" s="11"/>
      <c r="B9" s="11"/>
      <c r="C9" s="11"/>
      <c r="D9" s="22"/>
      <c r="E9" s="23"/>
      <c r="F9" s="11"/>
      <c r="G9" s="20"/>
      <c r="H9" s="10"/>
      <c r="I9" s="11"/>
      <c r="J9" s="50"/>
      <c r="K9" s="51"/>
      <c r="L9" s="25" t="s">
        <v>27</v>
      </c>
      <c r="M9" s="19"/>
      <c r="N9" s="2" t="s">
        <v>293</v>
      </c>
      <c r="O9" s="11"/>
      <c r="P9" s="11"/>
      <c r="Q9" s="11"/>
      <c r="R9" s="11"/>
      <c r="S9" s="11"/>
    </row>
    <row r="10" spans="1:19" x14ac:dyDescent="0.35">
      <c r="A10" s="11"/>
      <c r="B10" s="11"/>
      <c r="C10" s="11"/>
      <c r="D10" s="22"/>
      <c r="E10" s="23"/>
      <c r="F10" s="11"/>
      <c r="G10" s="20"/>
      <c r="H10" s="10"/>
      <c r="I10" s="11"/>
      <c r="J10" s="50"/>
      <c r="K10" s="51"/>
      <c r="L10" s="25" t="s">
        <v>27</v>
      </c>
      <c r="M10" s="19"/>
      <c r="N10" s="2" t="s">
        <v>293</v>
      </c>
      <c r="O10" s="11"/>
      <c r="P10" s="11"/>
      <c r="Q10" s="11"/>
      <c r="R10" s="11"/>
      <c r="S10" s="11"/>
    </row>
    <row r="11" spans="1:19" x14ac:dyDescent="0.35">
      <c r="A11" s="11"/>
      <c r="B11" s="11"/>
      <c r="C11" s="11"/>
      <c r="D11" s="22"/>
      <c r="E11" s="23"/>
      <c r="F11" s="11"/>
      <c r="G11" s="20"/>
      <c r="H11" s="10"/>
      <c r="I11" s="11"/>
      <c r="J11" s="50"/>
      <c r="K11" s="51"/>
      <c r="L11" s="25" t="s">
        <v>27</v>
      </c>
      <c r="M11" s="19"/>
      <c r="N11" s="2" t="s">
        <v>293</v>
      </c>
      <c r="O11" s="11"/>
      <c r="P11" s="11"/>
      <c r="Q11" s="11"/>
      <c r="R11" s="11"/>
      <c r="S11" s="11"/>
    </row>
    <row r="12" spans="1:19" x14ac:dyDescent="0.35">
      <c r="A12" s="11"/>
      <c r="B12" s="11"/>
      <c r="C12" s="11"/>
      <c r="D12" s="22"/>
      <c r="E12" s="23"/>
      <c r="F12" s="11"/>
      <c r="G12" s="20"/>
      <c r="H12" s="10"/>
      <c r="I12" s="11"/>
      <c r="J12" s="50"/>
      <c r="K12" s="51"/>
      <c r="L12" s="25" t="s">
        <v>27</v>
      </c>
      <c r="M12" s="19"/>
      <c r="N12" s="2" t="s">
        <v>293</v>
      </c>
      <c r="O12" s="11"/>
      <c r="P12" s="11"/>
      <c r="Q12" s="11"/>
      <c r="R12" s="11"/>
      <c r="S12" s="11"/>
    </row>
    <row r="13" spans="1:19" x14ac:dyDescent="0.35">
      <c r="A13" s="11"/>
      <c r="B13" s="11"/>
      <c r="C13" s="11"/>
      <c r="D13" s="22"/>
      <c r="E13" s="23"/>
      <c r="F13" s="11"/>
      <c r="G13" s="20"/>
      <c r="H13" s="10"/>
      <c r="I13" s="11"/>
      <c r="J13" s="15"/>
      <c r="K13" s="3"/>
      <c r="L13" s="26"/>
      <c r="M13" s="19"/>
      <c r="N13" s="2"/>
      <c r="O13" s="11"/>
      <c r="P13" s="11"/>
      <c r="Q13" s="11"/>
      <c r="R13" s="11"/>
      <c r="S13" s="11"/>
    </row>
    <row r="14" spans="1:19" x14ac:dyDescent="0.35">
      <c r="A14" s="11"/>
      <c r="B14" s="11"/>
      <c r="C14" s="11"/>
      <c r="D14" s="22"/>
      <c r="E14" s="23"/>
      <c r="F14" s="11"/>
      <c r="G14" s="20"/>
      <c r="H14" s="10"/>
      <c r="I14" s="11"/>
      <c r="J14" s="15"/>
      <c r="K14" s="16"/>
      <c r="L14" s="26"/>
      <c r="M14" s="13"/>
      <c r="N14" s="2"/>
      <c r="O14" s="11"/>
      <c r="P14" s="11"/>
      <c r="Q14" s="11"/>
      <c r="R14" s="11"/>
      <c r="S14" s="11"/>
    </row>
    <row r="15" spans="1:19" x14ac:dyDescent="0.35">
      <c r="A15" s="11"/>
      <c r="B15" s="11"/>
      <c r="C15" s="11"/>
      <c r="D15" s="22"/>
      <c r="E15" s="23"/>
      <c r="F15" s="11"/>
      <c r="G15" s="20"/>
      <c r="H15" s="10"/>
      <c r="I15" s="11"/>
      <c r="J15" s="15"/>
      <c r="K15" s="20"/>
      <c r="L15" s="26"/>
      <c r="M15" s="19"/>
      <c r="N15" s="2"/>
      <c r="O15" s="11"/>
      <c r="P15" s="11"/>
      <c r="Q15" s="11"/>
      <c r="R15" s="11"/>
      <c r="S15" s="11"/>
    </row>
    <row r="16" spans="1:19" x14ac:dyDescent="0.35">
      <c r="A16" s="17"/>
      <c r="B16" s="11"/>
      <c r="C16" s="11"/>
      <c r="D16" s="22"/>
      <c r="E16" s="23"/>
      <c r="F16" s="11"/>
      <c r="G16" s="20"/>
      <c r="H16" s="10"/>
      <c r="I16" s="11"/>
      <c r="J16" s="21"/>
      <c r="K16" s="4"/>
      <c r="L16" s="26"/>
      <c r="M16" s="19"/>
      <c r="N16" s="2"/>
      <c r="O16" s="11"/>
      <c r="P16" s="11"/>
      <c r="Q16" s="11"/>
      <c r="R16" s="11"/>
      <c r="S16" s="11"/>
    </row>
    <row r="17" spans="1:19" x14ac:dyDescent="0.35">
      <c r="A17" s="17"/>
      <c r="B17" s="11"/>
      <c r="C17" s="11"/>
      <c r="D17" s="22"/>
      <c r="E17" s="23"/>
      <c r="F17" s="11"/>
      <c r="G17" s="20"/>
      <c r="H17" s="10"/>
      <c r="I17" s="11"/>
      <c r="J17" s="15"/>
      <c r="K17" s="16"/>
      <c r="L17" s="26"/>
      <c r="M17" s="19"/>
      <c r="N17" s="2"/>
      <c r="O17" s="11"/>
      <c r="P17" s="11"/>
      <c r="Q17" s="11"/>
      <c r="R17" s="11"/>
      <c r="S17" s="11"/>
    </row>
    <row r="18" spans="1:19" x14ac:dyDescent="0.35">
      <c r="A18" s="17"/>
      <c r="B18" s="11"/>
      <c r="C18" s="11"/>
      <c r="D18" s="22"/>
      <c r="E18" s="23"/>
      <c r="F18" s="11"/>
      <c r="G18" s="20"/>
      <c r="H18" s="10"/>
      <c r="I18" s="11"/>
      <c r="J18" s="15"/>
      <c r="K18" s="16"/>
      <c r="L18" s="26"/>
      <c r="M18" s="19"/>
      <c r="N18" s="2"/>
      <c r="O18" s="11"/>
      <c r="P18" s="11"/>
      <c r="Q18" s="11"/>
      <c r="R18" s="11"/>
      <c r="S18" s="11"/>
    </row>
    <row r="19" spans="1:19" x14ac:dyDescent="0.35">
      <c r="A19" s="17"/>
      <c r="B19" s="11"/>
      <c r="C19" s="11"/>
      <c r="D19" s="22"/>
      <c r="E19" s="23"/>
      <c r="F19" s="11"/>
      <c r="G19" s="20"/>
      <c r="H19" s="10"/>
      <c r="I19" s="11"/>
      <c r="J19" s="15"/>
      <c r="K19" s="16"/>
      <c r="L19" s="26"/>
      <c r="M19" s="19"/>
      <c r="N19" s="2"/>
      <c r="O19" s="11"/>
      <c r="P19" s="11"/>
      <c r="Q19" s="11"/>
      <c r="R19" s="11"/>
      <c r="S19" s="11"/>
    </row>
    <row r="20" spans="1:19" x14ac:dyDescent="0.35">
      <c r="A20" s="17"/>
      <c r="B20" s="11"/>
      <c r="C20" s="11"/>
      <c r="D20" s="22"/>
      <c r="E20" s="23"/>
      <c r="F20" s="11"/>
      <c r="G20" s="20"/>
      <c r="H20" s="10"/>
      <c r="I20" s="11"/>
      <c r="J20" s="15"/>
      <c r="K20" s="16"/>
      <c r="L20" s="26"/>
      <c r="M20" s="19"/>
      <c r="N20" s="2"/>
      <c r="O20" s="11"/>
      <c r="P20" s="11"/>
      <c r="Q20" s="11"/>
      <c r="R20" s="11"/>
      <c r="S20" s="11"/>
    </row>
    <row r="21" spans="1:19" x14ac:dyDescent="0.35">
      <c r="A21" s="17"/>
      <c r="B21" s="11"/>
      <c r="C21" s="11"/>
      <c r="D21" s="22"/>
      <c r="E21" s="23"/>
      <c r="F21" s="11"/>
      <c r="G21" s="20"/>
      <c r="H21" s="10"/>
      <c r="I21" s="11"/>
      <c r="J21" s="15"/>
      <c r="K21" s="16"/>
      <c r="L21" s="26"/>
      <c r="M21" s="19"/>
      <c r="N21" s="2"/>
      <c r="O21" s="11"/>
      <c r="P21" s="11"/>
      <c r="Q21" s="11"/>
      <c r="R21" s="11"/>
      <c r="S21" s="11"/>
    </row>
    <row r="22" spans="1:19" x14ac:dyDescent="0.35">
      <c r="A22" s="17"/>
      <c r="B22" s="11"/>
      <c r="C22" s="11"/>
      <c r="D22" s="22"/>
      <c r="E22" s="23"/>
      <c r="F22" s="11"/>
      <c r="G22" s="20"/>
      <c r="H22" s="10"/>
      <c r="I22" s="11"/>
      <c r="J22" s="15"/>
      <c r="K22" s="16"/>
      <c r="L22" s="26"/>
      <c r="M22" s="19"/>
      <c r="N22" s="2"/>
      <c r="O22" s="11"/>
      <c r="P22" s="11"/>
      <c r="Q22" s="11"/>
      <c r="R22" s="11"/>
      <c r="S22" s="11"/>
    </row>
    <row r="23" spans="1:19" x14ac:dyDescent="0.35">
      <c r="A23" s="17"/>
      <c r="B23" s="11"/>
      <c r="C23" s="11"/>
      <c r="D23" s="22"/>
      <c r="E23" s="23"/>
      <c r="F23" s="11"/>
      <c r="G23" s="20"/>
      <c r="H23" s="10"/>
      <c r="I23" s="11"/>
      <c r="J23" s="15"/>
      <c r="K23" s="16"/>
      <c r="L23" s="26"/>
      <c r="M23" s="19"/>
      <c r="N23" s="2"/>
      <c r="O23" s="11"/>
      <c r="P23" s="11"/>
      <c r="Q23" s="11"/>
      <c r="R23" s="11"/>
      <c r="S23" s="11"/>
    </row>
  </sheetData>
  <conditionalFormatting sqref="A3:C23">
    <cfRule type="expression" dxfId="2" priority="1" stopIfTrue="1">
      <formula>(#REF! = "Not First Step")</formula>
    </cfRule>
  </conditionalFormatting>
  <conditionalFormatting sqref="B2:C2">
    <cfRule type="expression" dxfId="1" priority="6" stopIfTrue="1">
      <formula>(#REF! = "Not First Step")</formula>
    </cfRule>
  </conditionalFormatting>
  <conditionalFormatting sqref="F2:F15">
    <cfRule type="expression" dxfId="0" priority="3" stopIfTrue="1">
      <formula>(#REF! = "Not First Step")</formula>
    </cfRule>
  </conditionalFormatting>
  <dataValidations count="2">
    <dataValidation type="list" allowBlank="1" showInputMessage="1" showErrorMessage="1" sqref="N2:N23" xr:uid="{24DFD802-7BB4-45E9-9941-1434C280C5CD}">
      <formula1>"Pass,Fail,Deferred,Not Valid,Not Applicable,In Progress,No Run"</formula1>
    </dataValidation>
    <dataValidation type="list" allowBlank="1" showInputMessage="1" showErrorMessage="1" sqref="F1:F23" xr:uid="{0A6E6341-B966-4348-94A9-2B24F33E2291}">
      <formula1>Status</formula1>
    </dataValidation>
  </dataValidations>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C9BB1-5C69-4374-9FBA-B04F031CB1DB}">
  <dimension ref="A1:H27"/>
  <sheetViews>
    <sheetView tabSelected="1" topLeftCell="A16" workbookViewId="0">
      <selection activeCell="E28" sqref="E28"/>
    </sheetView>
  </sheetViews>
  <sheetFormatPr defaultRowHeight="14.5" x14ac:dyDescent="0.35"/>
  <cols>
    <col min="1" max="1" width="4" bestFit="1" customWidth="1"/>
    <col min="2" max="2" width="13.453125" bestFit="1" customWidth="1"/>
    <col min="3" max="3" width="80.54296875" bestFit="1" customWidth="1"/>
    <col min="4" max="4" width="26" bestFit="1" customWidth="1"/>
    <col min="5" max="5" width="9.54296875" bestFit="1" customWidth="1"/>
    <col min="6" max="6" width="38.54296875" bestFit="1" customWidth="1"/>
    <col min="7" max="7" width="76.1796875" style="106" customWidth="1"/>
  </cols>
  <sheetData>
    <row r="1" spans="1:8" x14ac:dyDescent="0.35">
      <c r="A1" s="2"/>
      <c r="B1" s="108" t="s">
        <v>756</v>
      </c>
      <c r="C1" s="108" t="s">
        <v>757</v>
      </c>
      <c r="D1" s="108" t="s">
        <v>6</v>
      </c>
      <c r="E1" s="108" t="s">
        <v>758</v>
      </c>
      <c r="F1" s="108"/>
      <c r="G1" s="219" t="s">
        <v>759</v>
      </c>
    </row>
    <row r="2" spans="1:8" x14ac:dyDescent="0.35">
      <c r="A2" s="2">
        <v>1</v>
      </c>
      <c r="B2" t="s">
        <v>760</v>
      </c>
      <c r="C2" s="2" t="s">
        <v>761</v>
      </c>
      <c r="D2" s="2"/>
      <c r="E2" s="2" t="s">
        <v>762</v>
      </c>
      <c r="F2" s="2"/>
      <c r="G2" s="3"/>
    </row>
    <row r="3" spans="1:8" x14ac:dyDescent="0.35">
      <c r="A3" s="2">
        <v>2</v>
      </c>
      <c r="B3" t="s">
        <v>763</v>
      </c>
      <c r="C3" s="2" t="s">
        <v>764</v>
      </c>
      <c r="D3" s="2"/>
      <c r="E3" s="2" t="s">
        <v>762</v>
      </c>
      <c r="F3" s="2"/>
      <c r="G3" s="3"/>
    </row>
    <row r="4" spans="1:8" ht="29" x14ac:dyDescent="0.35">
      <c r="A4" s="2">
        <v>3</v>
      </c>
      <c r="B4" s="2" t="s">
        <v>495</v>
      </c>
      <c r="C4" s="3" t="s">
        <v>765</v>
      </c>
      <c r="D4" s="2"/>
      <c r="E4" s="2" t="s">
        <v>762</v>
      </c>
      <c r="F4" s="2"/>
      <c r="G4" s="3"/>
    </row>
    <row r="5" spans="1:8" x14ac:dyDescent="0.35">
      <c r="A5" s="2">
        <v>4</v>
      </c>
      <c r="B5" s="3" t="s">
        <v>766</v>
      </c>
      <c r="C5" s="3" t="s">
        <v>767</v>
      </c>
      <c r="D5" t="s">
        <v>768</v>
      </c>
      <c r="E5" s="2" t="s">
        <v>762</v>
      </c>
      <c r="F5" s="2"/>
      <c r="G5" s="3" t="s">
        <v>769</v>
      </c>
    </row>
    <row r="6" spans="1:8" ht="15.5" x14ac:dyDescent="0.35">
      <c r="A6" s="2">
        <v>5</v>
      </c>
      <c r="B6" s="215" t="s">
        <v>770</v>
      </c>
      <c r="C6" s="2" t="s">
        <v>771</v>
      </c>
      <c r="D6" s="2" t="s">
        <v>772</v>
      </c>
      <c r="E6" s="2" t="s">
        <v>762</v>
      </c>
      <c r="F6" s="2"/>
      <c r="G6" s="3"/>
    </row>
    <row r="7" spans="1:8" ht="15.5" x14ac:dyDescent="0.35">
      <c r="A7" s="2">
        <v>6</v>
      </c>
      <c r="B7" s="215" t="s">
        <v>773</v>
      </c>
      <c r="C7" s="215" t="s">
        <v>774</v>
      </c>
      <c r="D7" s="2" t="s">
        <v>768</v>
      </c>
      <c r="E7" s="2" t="s">
        <v>762</v>
      </c>
      <c r="F7" s="2"/>
      <c r="G7" s="3"/>
    </row>
    <row r="8" spans="1:8" x14ac:dyDescent="0.35">
      <c r="A8" s="2">
        <v>7</v>
      </c>
      <c r="B8" s="2"/>
      <c r="C8" t="s">
        <v>775</v>
      </c>
      <c r="D8" s="2" t="s">
        <v>768</v>
      </c>
      <c r="E8" s="2" t="s">
        <v>762</v>
      </c>
      <c r="F8" s="2"/>
      <c r="G8" s="3" t="s">
        <v>776</v>
      </c>
    </row>
    <row r="9" spans="1:8" ht="58" x14ac:dyDescent="0.35">
      <c r="A9" s="2">
        <v>8</v>
      </c>
      <c r="B9" s="215" t="s">
        <v>777</v>
      </c>
      <c r="C9" s="3" t="s">
        <v>778</v>
      </c>
      <c r="D9" s="2" t="s">
        <v>779</v>
      </c>
      <c r="E9" s="2" t="s">
        <v>762</v>
      </c>
      <c r="F9" s="2"/>
      <c r="G9" s="3" t="s">
        <v>780</v>
      </c>
    </row>
    <row r="10" spans="1:8" ht="15.5" x14ac:dyDescent="0.35">
      <c r="A10" s="2">
        <v>9</v>
      </c>
      <c r="B10" s="215" t="s">
        <v>781</v>
      </c>
      <c r="C10" s="2" t="s">
        <v>782</v>
      </c>
      <c r="D10" s="2" t="s">
        <v>779</v>
      </c>
      <c r="E10" s="2" t="s">
        <v>762</v>
      </c>
      <c r="F10" s="2"/>
      <c r="G10" s="3" t="s">
        <v>780</v>
      </c>
    </row>
    <row r="11" spans="1:8" x14ac:dyDescent="0.35">
      <c r="A11" s="2">
        <v>10</v>
      </c>
      <c r="B11" s="2" t="s">
        <v>260</v>
      </c>
      <c r="C11" s="218" t="s">
        <v>783</v>
      </c>
      <c r="D11" s="2" t="s">
        <v>768</v>
      </c>
      <c r="E11" s="2" t="s">
        <v>762</v>
      </c>
      <c r="F11" s="2"/>
      <c r="G11" s="3" t="s">
        <v>776</v>
      </c>
    </row>
    <row r="12" spans="1:8" x14ac:dyDescent="0.35">
      <c r="A12" s="2">
        <v>11</v>
      </c>
      <c r="B12" s="2" t="s">
        <v>268</v>
      </c>
      <c r="C12" t="s">
        <v>784</v>
      </c>
      <c r="D12" s="2" t="s">
        <v>768</v>
      </c>
      <c r="E12" s="2" t="s">
        <v>762</v>
      </c>
      <c r="F12" s="2"/>
      <c r="G12" s="3" t="s">
        <v>776</v>
      </c>
    </row>
    <row r="13" spans="1:8" x14ac:dyDescent="0.35">
      <c r="A13" s="2">
        <v>12</v>
      </c>
      <c r="B13" s="2" t="s">
        <v>785</v>
      </c>
      <c r="C13" s="2" t="s">
        <v>786</v>
      </c>
      <c r="D13" s="2" t="s">
        <v>779</v>
      </c>
      <c r="E13" s="2" t="s">
        <v>762</v>
      </c>
      <c r="F13" s="2"/>
      <c r="G13" s="3" t="s">
        <v>780</v>
      </c>
      <c r="H13" s="237" t="s">
        <v>787</v>
      </c>
    </row>
    <row r="14" spans="1:8" x14ac:dyDescent="0.35">
      <c r="A14" s="2">
        <v>13</v>
      </c>
      <c r="B14" s="2" t="s">
        <v>788</v>
      </c>
      <c r="C14" s="2" t="s">
        <v>789</v>
      </c>
      <c r="D14" s="2" t="s">
        <v>779</v>
      </c>
      <c r="E14" s="2" t="s">
        <v>762</v>
      </c>
      <c r="F14" s="2"/>
      <c r="G14" s="3" t="s">
        <v>780</v>
      </c>
      <c r="H14" s="237" t="s">
        <v>787</v>
      </c>
    </row>
    <row r="15" spans="1:8" x14ac:dyDescent="0.35">
      <c r="A15" s="2">
        <v>14</v>
      </c>
      <c r="B15" s="109" t="s">
        <v>790</v>
      </c>
      <c r="C15" s="2" t="s">
        <v>791</v>
      </c>
      <c r="D15" s="2" t="s">
        <v>768</v>
      </c>
      <c r="E15" s="2" t="s">
        <v>762</v>
      </c>
      <c r="F15" s="2"/>
      <c r="G15" s="3" t="s">
        <v>776</v>
      </c>
      <c r="H15" s="237"/>
    </row>
    <row r="16" spans="1:8" x14ac:dyDescent="0.35">
      <c r="A16" s="2">
        <v>16</v>
      </c>
      <c r="B16" s="2" t="s">
        <v>792</v>
      </c>
      <c r="C16" s="2" t="s">
        <v>814</v>
      </c>
      <c r="D16" s="2" t="s">
        <v>768</v>
      </c>
      <c r="E16" s="2" t="s">
        <v>762</v>
      </c>
      <c r="F16" s="2" t="s">
        <v>800</v>
      </c>
      <c r="G16" s="3" t="s">
        <v>794</v>
      </c>
    </row>
    <row r="17" spans="1:7" ht="58" x14ac:dyDescent="0.35">
      <c r="A17" s="237">
        <v>17</v>
      </c>
      <c r="B17" s="237" t="s">
        <v>796</v>
      </c>
      <c r="C17" s="237" t="s">
        <v>802</v>
      </c>
      <c r="D17" s="2" t="s">
        <v>797</v>
      </c>
      <c r="E17" s="237" t="s">
        <v>762</v>
      </c>
      <c r="F17" s="237" t="s">
        <v>798</v>
      </c>
      <c r="G17" s="106" t="s">
        <v>799</v>
      </c>
    </row>
    <row r="18" spans="1:7" x14ac:dyDescent="0.35">
      <c r="A18" s="237">
        <v>18</v>
      </c>
      <c r="B18" s="237" t="s">
        <v>803</v>
      </c>
      <c r="C18" s="237" t="s">
        <v>813</v>
      </c>
      <c r="D18" s="237" t="s">
        <v>768</v>
      </c>
      <c r="E18" s="237" t="s">
        <v>167</v>
      </c>
      <c r="F18" s="237" t="s">
        <v>798</v>
      </c>
    </row>
    <row r="19" spans="1:7" ht="58" x14ac:dyDescent="0.35">
      <c r="A19" s="237">
        <v>19</v>
      </c>
      <c r="B19" s="237" t="s">
        <v>804</v>
      </c>
      <c r="C19" s="237" t="s">
        <v>805</v>
      </c>
      <c r="D19" s="237" t="s">
        <v>768</v>
      </c>
      <c r="E19" s="237" t="s">
        <v>762</v>
      </c>
      <c r="F19" s="237" t="s">
        <v>806</v>
      </c>
      <c r="G19" s="106" t="s">
        <v>811</v>
      </c>
    </row>
    <row r="20" spans="1:7" ht="29" x14ac:dyDescent="0.35">
      <c r="A20" s="237">
        <v>20</v>
      </c>
      <c r="B20" s="237" t="s">
        <v>807</v>
      </c>
      <c r="C20" s="237" t="s">
        <v>810</v>
      </c>
      <c r="D20" s="237" t="s">
        <v>768</v>
      </c>
      <c r="E20" s="237" t="s">
        <v>762</v>
      </c>
      <c r="F20" s="237" t="s">
        <v>808</v>
      </c>
      <c r="G20" s="106" t="s">
        <v>809</v>
      </c>
    </row>
    <row r="21" spans="1:7" x14ac:dyDescent="0.35">
      <c r="A21" s="237">
        <v>21</v>
      </c>
      <c r="B21" s="237" t="s">
        <v>816</v>
      </c>
      <c r="C21" s="237" t="s">
        <v>817</v>
      </c>
      <c r="D21" s="237" t="s">
        <v>768</v>
      </c>
      <c r="E21" s="237" t="s">
        <v>167</v>
      </c>
      <c r="F21" s="237" t="s">
        <v>808</v>
      </c>
      <c r="G21" s="106" t="s">
        <v>815</v>
      </c>
    </row>
    <row r="22" spans="1:7" ht="29" x14ac:dyDescent="0.35">
      <c r="A22" s="237">
        <v>22</v>
      </c>
      <c r="B22" s="237" t="s">
        <v>818</v>
      </c>
      <c r="C22" s="237" t="s">
        <v>819</v>
      </c>
      <c r="D22" s="237" t="s">
        <v>768</v>
      </c>
      <c r="E22" s="237" t="s">
        <v>762</v>
      </c>
      <c r="F22" s="237" t="s">
        <v>820</v>
      </c>
      <c r="G22" s="106" t="s">
        <v>821</v>
      </c>
    </row>
    <row r="23" spans="1:7" x14ac:dyDescent="0.35">
      <c r="A23" s="237">
        <v>23</v>
      </c>
      <c r="B23" s="237" t="s">
        <v>823</v>
      </c>
      <c r="C23" s="237" t="s">
        <v>824</v>
      </c>
      <c r="D23" s="237" t="s">
        <v>825</v>
      </c>
      <c r="E23" s="237" t="s">
        <v>762</v>
      </c>
      <c r="F23" s="237" t="s">
        <v>820</v>
      </c>
    </row>
    <row r="24" spans="1:7" x14ac:dyDescent="0.35">
      <c r="A24" s="237">
        <v>24</v>
      </c>
      <c r="B24" s="237" t="s">
        <v>826</v>
      </c>
      <c r="C24" s="237" t="s">
        <v>827</v>
      </c>
      <c r="D24" s="237" t="s">
        <v>825</v>
      </c>
      <c r="E24" s="237" t="s">
        <v>762</v>
      </c>
      <c r="F24" s="237" t="s">
        <v>820</v>
      </c>
    </row>
    <row r="25" spans="1:7" x14ac:dyDescent="0.35">
      <c r="A25" s="237">
        <v>25</v>
      </c>
      <c r="B25" s="237" t="s">
        <v>828</v>
      </c>
      <c r="C25" s="237" t="s">
        <v>829</v>
      </c>
      <c r="D25" s="237" t="s">
        <v>825</v>
      </c>
      <c r="E25" s="237" t="s">
        <v>762</v>
      </c>
      <c r="F25" s="237" t="s">
        <v>820</v>
      </c>
    </row>
    <row r="26" spans="1:7" x14ac:dyDescent="0.35">
      <c r="A26" s="237">
        <v>26</v>
      </c>
      <c r="B26" s="237" t="s">
        <v>830</v>
      </c>
      <c r="C26" s="237" t="s">
        <v>831</v>
      </c>
      <c r="D26" s="237" t="s">
        <v>825</v>
      </c>
      <c r="E26" s="237" t="s">
        <v>762</v>
      </c>
      <c r="F26" s="237" t="s">
        <v>820</v>
      </c>
    </row>
    <row r="27" spans="1:7" x14ac:dyDescent="0.35">
      <c r="A27" s="237">
        <v>27</v>
      </c>
      <c r="B27" s="237" t="s">
        <v>832</v>
      </c>
      <c r="C27" s="237" t="s">
        <v>833</v>
      </c>
      <c r="E27" s="237" t="s">
        <v>167</v>
      </c>
      <c r="F27" s="237" t="s">
        <v>820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F2CC0-0D45-4E2E-B746-733E93221F94}">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c2787b0-6c1e-4283-ad02-40c3b8fc0e51">
      <Terms xmlns="http://schemas.microsoft.com/office/infopath/2007/PartnerControls"/>
    </lcf76f155ced4ddcb4097134ff3c332f>
    <TaxCatchAll xmlns="36716fb1-4a12-4469-8a07-f1cc905dfa8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C29DF41DE54444382374BD281E09C34" ma:contentTypeVersion="15" ma:contentTypeDescription="Create a new document." ma:contentTypeScope="" ma:versionID="cf8efec92b9483a54b6a4b1d311499e5">
  <xsd:schema xmlns:xsd="http://www.w3.org/2001/XMLSchema" xmlns:xs="http://www.w3.org/2001/XMLSchema" xmlns:p="http://schemas.microsoft.com/office/2006/metadata/properties" xmlns:ns2="8c2787b0-6c1e-4283-ad02-40c3b8fc0e51" xmlns:ns3="36716fb1-4a12-4469-8a07-f1cc905dfa80" targetNamespace="http://schemas.microsoft.com/office/2006/metadata/properties" ma:root="true" ma:fieldsID="a457f0b42269427881e3866e94fc4493" ns2:_="" ns3:_="">
    <xsd:import namespace="8c2787b0-6c1e-4283-ad02-40c3b8fc0e51"/>
    <xsd:import namespace="36716fb1-4a12-4469-8a07-f1cc905dfa80"/>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SearchPropertie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c2787b0-6c1e-4283-ad02-40c3b8fc0e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2a6b2b66-40d8-4e06-8a39-adc3ecd4519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6716fb1-4a12-4469-8a07-f1cc905dfa8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5b1bb424-d6bc-4d2c-a540-2efb4e3bade6}" ma:internalName="TaxCatchAll" ma:showField="CatchAllData" ma:web="36716fb1-4a12-4469-8a07-f1cc905dfa8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81B5B9C-5B79-4540-A425-B459A6194E66}">
  <ds:schemaRefs>
    <ds:schemaRef ds:uri="http://purl.org/dc/terms/"/>
    <ds:schemaRef ds:uri="36716fb1-4a12-4469-8a07-f1cc905dfa80"/>
    <ds:schemaRef ds:uri="http://schemas.microsoft.com/office/2006/documentManagement/types"/>
    <ds:schemaRef ds:uri="http://schemas.openxmlformats.org/package/2006/metadata/core-properties"/>
    <ds:schemaRef ds:uri="http://purl.org/dc/dcmitype/"/>
    <ds:schemaRef ds:uri="http://purl.org/dc/elements/1.1/"/>
    <ds:schemaRef ds:uri="http://schemas.microsoft.com/office/2006/metadata/properties"/>
    <ds:schemaRef ds:uri="http://schemas.microsoft.com/office/infopath/2007/PartnerControls"/>
    <ds:schemaRef ds:uri="8c2787b0-6c1e-4283-ad02-40c3b8fc0e51"/>
    <ds:schemaRef ds:uri="http://www.w3.org/XML/1998/namespace"/>
  </ds:schemaRefs>
</ds:datastoreItem>
</file>

<file path=customXml/itemProps2.xml><?xml version="1.0" encoding="utf-8"?>
<ds:datastoreItem xmlns:ds="http://schemas.openxmlformats.org/officeDocument/2006/customXml" ds:itemID="{42D7CC37-E3E2-4C22-85A4-3A19A3D416C9}">
  <ds:schemaRefs>
    <ds:schemaRef ds:uri="http://schemas.microsoft.com/sharepoint/v3/contenttype/forms"/>
  </ds:schemaRefs>
</ds:datastoreItem>
</file>

<file path=customXml/itemProps3.xml><?xml version="1.0" encoding="utf-8"?>
<ds:datastoreItem xmlns:ds="http://schemas.openxmlformats.org/officeDocument/2006/customXml" ds:itemID="{AC47DFEB-F171-4556-80A4-536C64A22DE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c2787b0-6c1e-4283-ad02-40c3b8fc0e51"/>
    <ds:schemaRef ds:uri="36716fb1-4a12-4469-8a07-f1cc905dfa8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Capabilities</vt:lpstr>
      <vt:lpstr>Case Install</vt:lpstr>
      <vt:lpstr>Fulfillment</vt:lpstr>
      <vt:lpstr>Downstream Extract</vt:lpstr>
      <vt:lpstr>Bill&amp;Comm</vt:lpstr>
      <vt:lpstr>Maint</vt:lpstr>
      <vt:lpstr>DE</vt:lpstr>
      <vt:lpstr>ClmsClin</vt:lpstr>
      <vt:lpstr>PCP Assignment</vt:lpstr>
      <vt:lpstr>Rating Population</vt:lpstr>
      <vt:lpstr>Carve out</vt:lpstr>
      <vt:lpstr>Metrics</vt:lpstr>
      <vt:lpstr>Cal Choice</vt:lpstr>
      <vt:lpstr>Integrated Administration</vt:lpstr>
      <vt:lpstr>Reporting</vt:lpstr>
      <vt:lpstr>Defects</vt:lpstr>
      <vt:lpstr>Project Details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Sharma, Vandana</dc:creator>
  <cp:keywords/>
  <dc:description/>
  <cp:lastModifiedBy>Jacques, Sandia</cp:lastModifiedBy>
  <cp:revision/>
  <dcterms:created xsi:type="dcterms:W3CDTF">2021-09-14T12:59:13Z</dcterms:created>
  <dcterms:modified xsi:type="dcterms:W3CDTF">2026-06-22T15:23:16Z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0x0101008C29DF41DE54444382374BD281E09C34</vt:lpwstr>
  </property>
  <property fmtid="{D5CDD505-2E9C-101B-9397-08002B2CF9AE}" pid="3" name="MSIP_Label_a8a73c85-e524-44a6-bd58-7df7ef87be8f_Enabled">
    <vt:lpwstr>true</vt:lpwstr>
  </property>
  <property fmtid="{D5CDD505-2E9C-101B-9397-08002B2CF9AE}" pid="4" name="MSIP_Label_a8a73c85-e524-44a6-bd58-7df7ef87be8f_SetDate">
    <vt:lpwstr>2023-03-06T14:27:13Z</vt:lpwstr>
  </property>
  <property fmtid="{D5CDD505-2E9C-101B-9397-08002B2CF9AE}" pid="5" name="MSIP_Label_a8a73c85-e524-44a6-bd58-7df7ef87be8f_Method">
    <vt:lpwstr>Privileged</vt:lpwstr>
  </property>
  <property fmtid="{D5CDD505-2E9C-101B-9397-08002B2CF9AE}" pid="6" name="MSIP_Label_a8a73c85-e524-44a6-bd58-7df7ef87be8f_Name">
    <vt:lpwstr>Internal Label</vt:lpwstr>
  </property>
  <property fmtid="{D5CDD505-2E9C-101B-9397-08002B2CF9AE}" pid="7" name="MSIP_Label_a8a73c85-e524-44a6-bd58-7df7ef87be8f_SiteId">
    <vt:lpwstr>db05faca-c82a-4b9d-b9c5-0f64b6755421</vt:lpwstr>
  </property>
  <property fmtid="{D5CDD505-2E9C-101B-9397-08002B2CF9AE}" pid="8" name="MSIP_Label_a8a73c85-e524-44a6-bd58-7df7ef87be8f_ActionId">
    <vt:lpwstr>a7323f72-f08a-4735-b8a0-36f7652fb789</vt:lpwstr>
  </property>
  <property fmtid="{D5CDD505-2E9C-101B-9397-08002B2CF9AE}" pid="9" name="MSIP_Label_a8a73c85-e524-44a6-bd58-7df7ef87be8f_ContentBits">
    <vt:lpwstr>0</vt:lpwstr>
  </property>
  <property fmtid="{D5CDD505-2E9C-101B-9397-08002B2CF9AE}" pid="10" name="MediaServiceImageTags">
    <vt:lpwstr/>
  </property>
</Properties>
</file>